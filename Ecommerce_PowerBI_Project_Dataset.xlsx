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93BB2E4-AB13-47D9-8F04-590B3222E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</calcChain>
</file>

<file path=xl/sharedStrings.xml><?xml version="1.0" encoding="utf-8"?>
<sst xmlns="http://schemas.openxmlformats.org/spreadsheetml/2006/main" count="811" uniqueCount="37">
  <si>
    <t>Order Date</t>
  </si>
  <si>
    <t>Customer Name</t>
  </si>
  <si>
    <t>Region</t>
  </si>
  <si>
    <t>Category</t>
  </si>
  <si>
    <t>Sub-Category</t>
  </si>
  <si>
    <t>Sales</t>
  </si>
  <si>
    <t>Profit</t>
  </si>
  <si>
    <t>Quantity</t>
  </si>
  <si>
    <t>Arjun</t>
  </si>
  <si>
    <t>South</t>
  </si>
  <si>
    <t>Technology</t>
  </si>
  <si>
    <t>Laptops</t>
  </si>
  <si>
    <t>Neha</t>
  </si>
  <si>
    <t>West</t>
  </si>
  <si>
    <t>Office Supplies</t>
  </si>
  <si>
    <t>Paper</t>
  </si>
  <si>
    <t>Priya</t>
  </si>
  <si>
    <t>North</t>
  </si>
  <si>
    <t>Amit</t>
  </si>
  <si>
    <t>Accessories</t>
  </si>
  <si>
    <t>Pooja</t>
  </si>
  <si>
    <t>Furniture</t>
  </si>
  <si>
    <t>Chairs</t>
  </si>
  <si>
    <t>East</t>
  </si>
  <si>
    <t>Tables</t>
  </si>
  <si>
    <t>Storage</t>
  </si>
  <si>
    <t>Rahul</t>
  </si>
  <si>
    <t>Bookcases</t>
  </si>
  <si>
    <t>Vikram</t>
  </si>
  <si>
    <t>Binders</t>
  </si>
  <si>
    <t>Sneha</t>
  </si>
  <si>
    <t>Karan</t>
  </si>
  <si>
    <t>Phones</t>
  </si>
  <si>
    <t>Riya</t>
  </si>
  <si>
    <t>Order Month</t>
  </si>
  <si>
    <t>Customer type</t>
  </si>
  <si>
    <t>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</si>
</sst>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K1" sqref="K1:K1048576"/>
    </sheetView>
  </sheetViews>
  <sheetFormatPr defaultRowHeight="14.5" x14ac:dyDescent="0.35"/>
  <cols>
    <col min="1" max="1" width="12.54296875" customWidth="1"/>
    <col min="2" max="2" width="14.36328125" bestFit="1" customWidth="1"/>
    <col min="4" max="4" width="13.1796875" bestFit="1" customWidth="1"/>
    <col min="5" max="5" width="11.90625" bestFit="1" customWidth="1"/>
    <col min="9" max="9" width="14.6328125" bestFit="1" customWidth="1"/>
    <col min="10" max="10" width="13.08984375" bestFit="1" customWidth="1"/>
    <col min="11" max="11" width="11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35</v>
      </c>
      <c r="K1" t="s">
        <v>36</v>
      </c>
    </row>
    <row r="2" spans="1:11" x14ac:dyDescent="0.35">
      <c r="A2" s="1">
        <v>46028</v>
      </c>
      <c r="B2" t="s">
        <v>8</v>
      </c>
      <c r="C2" t="s">
        <v>9</v>
      </c>
      <c r="D2" t="s">
        <v>10</v>
      </c>
      <c r="E2" t="s">
        <v>11</v>
      </c>
      <c r="F2">
        <v>4930.3599999999997</v>
      </c>
      <c r="G2">
        <v>1096.7</v>
      </c>
      <c r="H2">
        <v>8</v>
      </c>
      <c r="I2" t="str">
        <f>TEXT(A2,"mmmm-yyyy")</f>
        <v>January-2026</v>
      </c>
      <c r="J2" t="str">
        <f>IF(F2&gt;1000,"Premium","Regular")</f>
        <v>Premium</v>
      </c>
      <c r="K2" t="str">
        <f>IF(G2&gt;0,"Profit","Loss")</f>
        <v>Profit</v>
      </c>
    </row>
    <row r="3" spans="1:11" x14ac:dyDescent="0.35">
      <c r="A3" s="1">
        <v>46126</v>
      </c>
      <c r="B3" t="s">
        <v>12</v>
      </c>
      <c r="C3" t="s">
        <v>13</v>
      </c>
      <c r="D3" t="s">
        <v>14</v>
      </c>
      <c r="E3" t="s">
        <v>15</v>
      </c>
      <c r="F3">
        <v>3820.04</v>
      </c>
      <c r="G3">
        <v>64.06</v>
      </c>
      <c r="H3">
        <v>8</v>
      </c>
      <c r="I3" t="str">
        <f t="shared" ref="I3:I66" si="0">TEXT(A3,"mmmm-yyyy")</f>
        <v>April-2026</v>
      </c>
      <c r="J3" t="str">
        <f t="shared" ref="J3:J66" si="1">IF(F3&gt;1000,"Premium","Regular")</f>
        <v>Premium</v>
      </c>
      <c r="K3" t="str">
        <f t="shared" ref="K3:K66" si="2">IF(G3&gt;0,"Profit","Loss")</f>
        <v>Profit</v>
      </c>
    </row>
    <row r="4" spans="1:11" x14ac:dyDescent="0.35">
      <c r="A4" s="1">
        <v>46085</v>
      </c>
      <c r="B4" t="s">
        <v>8</v>
      </c>
      <c r="C4" t="s">
        <v>9</v>
      </c>
      <c r="D4" t="s">
        <v>14</v>
      </c>
      <c r="E4" t="s">
        <v>15</v>
      </c>
      <c r="F4">
        <v>751.79</v>
      </c>
      <c r="G4">
        <v>110.73</v>
      </c>
      <c r="H4">
        <v>10</v>
      </c>
      <c r="I4" t="str">
        <f t="shared" si="0"/>
        <v>March-2026</v>
      </c>
      <c r="J4" t="str">
        <f t="shared" si="1"/>
        <v>Regular</v>
      </c>
      <c r="K4" t="str">
        <f t="shared" si="2"/>
        <v>Profit</v>
      </c>
    </row>
    <row r="5" spans="1:11" x14ac:dyDescent="0.35">
      <c r="A5" s="1">
        <v>45715</v>
      </c>
      <c r="B5" t="s">
        <v>16</v>
      </c>
      <c r="C5" t="s">
        <v>17</v>
      </c>
      <c r="D5" t="s">
        <v>10</v>
      </c>
      <c r="E5" t="s">
        <v>11</v>
      </c>
      <c r="F5">
        <v>3137.34</v>
      </c>
      <c r="G5">
        <v>-312.39999999999998</v>
      </c>
      <c r="H5">
        <v>2</v>
      </c>
      <c r="I5" t="str">
        <f t="shared" si="0"/>
        <v>February-2025</v>
      </c>
      <c r="J5" t="str">
        <f t="shared" si="1"/>
        <v>Premium</v>
      </c>
      <c r="K5" t="str">
        <f t="shared" si="2"/>
        <v>Loss</v>
      </c>
    </row>
    <row r="6" spans="1:11" x14ac:dyDescent="0.35">
      <c r="A6" s="1">
        <v>46069</v>
      </c>
      <c r="B6" t="s">
        <v>18</v>
      </c>
      <c r="C6" t="s">
        <v>13</v>
      </c>
      <c r="D6" t="s">
        <v>10</v>
      </c>
      <c r="E6" t="s">
        <v>19</v>
      </c>
      <c r="F6">
        <v>2893.29</v>
      </c>
      <c r="G6">
        <v>117.73</v>
      </c>
      <c r="H6">
        <v>10</v>
      </c>
      <c r="I6" t="str">
        <f t="shared" si="0"/>
        <v>February-2026</v>
      </c>
      <c r="J6" t="str">
        <f t="shared" si="1"/>
        <v>Premium</v>
      </c>
      <c r="K6" t="str">
        <f t="shared" si="2"/>
        <v>Profit</v>
      </c>
    </row>
    <row r="7" spans="1:11" x14ac:dyDescent="0.35">
      <c r="A7" s="1">
        <v>46153</v>
      </c>
      <c r="B7" t="s">
        <v>20</v>
      </c>
      <c r="C7" t="s">
        <v>17</v>
      </c>
      <c r="D7" t="s">
        <v>21</v>
      </c>
      <c r="E7" t="s">
        <v>22</v>
      </c>
      <c r="F7">
        <v>3801.08</v>
      </c>
      <c r="G7">
        <v>952.99</v>
      </c>
      <c r="H7">
        <v>8</v>
      </c>
      <c r="I7" t="str">
        <f t="shared" si="0"/>
        <v>May-2026</v>
      </c>
      <c r="J7" t="str">
        <f t="shared" si="1"/>
        <v>Premium</v>
      </c>
      <c r="K7" t="str">
        <f t="shared" si="2"/>
        <v>Profit</v>
      </c>
    </row>
    <row r="8" spans="1:11" x14ac:dyDescent="0.35">
      <c r="A8" s="1">
        <v>45670</v>
      </c>
      <c r="B8" t="s">
        <v>16</v>
      </c>
      <c r="C8" t="s">
        <v>23</v>
      </c>
      <c r="D8" t="s">
        <v>14</v>
      </c>
      <c r="E8" t="s">
        <v>15</v>
      </c>
      <c r="F8">
        <v>3799.72</v>
      </c>
      <c r="G8">
        <v>421.76</v>
      </c>
      <c r="H8">
        <v>8</v>
      </c>
      <c r="I8" t="str">
        <f t="shared" si="0"/>
        <v>January-2025</v>
      </c>
      <c r="J8" t="str">
        <f t="shared" si="1"/>
        <v>Premium</v>
      </c>
      <c r="K8" t="str">
        <f t="shared" si="2"/>
        <v>Profit</v>
      </c>
    </row>
    <row r="9" spans="1:11" x14ac:dyDescent="0.35">
      <c r="A9" s="1">
        <v>45989</v>
      </c>
      <c r="B9" t="s">
        <v>12</v>
      </c>
      <c r="C9" t="s">
        <v>23</v>
      </c>
      <c r="D9" t="s">
        <v>21</v>
      </c>
      <c r="E9" t="s">
        <v>24</v>
      </c>
      <c r="F9">
        <v>507.61</v>
      </c>
      <c r="G9">
        <v>30.01</v>
      </c>
      <c r="H9">
        <v>1</v>
      </c>
      <c r="I9" t="str">
        <f t="shared" si="0"/>
        <v>November-2025</v>
      </c>
      <c r="J9" t="str">
        <f t="shared" si="1"/>
        <v>Regular</v>
      </c>
      <c r="K9" t="str">
        <f t="shared" si="2"/>
        <v>Profit</v>
      </c>
    </row>
    <row r="10" spans="1:11" x14ac:dyDescent="0.35">
      <c r="A10" s="1">
        <v>45899</v>
      </c>
      <c r="B10" t="s">
        <v>18</v>
      </c>
      <c r="C10" t="s">
        <v>9</v>
      </c>
      <c r="D10" t="s">
        <v>14</v>
      </c>
      <c r="E10" t="s">
        <v>25</v>
      </c>
      <c r="F10">
        <v>1401.88</v>
      </c>
      <c r="G10">
        <v>-60.8</v>
      </c>
      <c r="H10">
        <v>8</v>
      </c>
      <c r="I10" t="str">
        <f t="shared" si="0"/>
        <v>August-2025</v>
      </c>
      <c r="J10" t="str">
        <f t="shared" si="1"/>
        <v>Premium</v>
      </c>
      <c r="K10" t="str">
        <f t="shared" si="2"/>
        <v>Loss</v>
      </c>
    </row>
    <row r="11" spans="1:11" x14ac:dyDescent="0.35">
      <c r="A11" s="1">
        <v>45809</v>
      </c>
      <c r="B11" t="s">
        <v>8</v>
      </c>
      <c r="C11" t="s">
        <v>13</v>
      </c>
      <c r="D11" t="s">
        <v>21</v>
      </c>
      <c r="E11" t="s">
        <v>24</v>
      </c>
      <c r="F11">
        <v>4182.88</v>
      </c>
      <c r="G11">
        <v>-248.83</v>
      </c>
      <c r="H11">
        <v>4</v>
      </c>
      <c r="I11" t="str">
        <f t="shared" si="0"/>
        <v>June-2025</v>
      </c>
      <c r="J11" t="str">
        <f t="shared" si="1"/>
        <v>Premium</v>
      </c>
      <c r="K11" t="str">
        <f t="shared" si="2"/>
        <v>Loss</v>
      </c>
    </row>
    <row r="12" spans="1:11" x14ac:dyDescent="0.35">
      <c r="A12" s="1">
        <v>46134</v>
      </c>
      <c r="B12" t="s">
        <v>26</v>
      </c>
      <c r="C12" t="s">
        <v>23</v>
      </c>
      <c r="D12" t="s">
        <v>21</v>
      </c>
      <c r="E12" t="s">
        <v>27</v>
      </c>
      <c r="F12">
        <v>4007.73</v>
      </c>
      <c r="G12">
        <v>-354.3</v>
      </c>
      <c r="H12">
        <v>3</v>
      </c>
      <c r="I12" t="str">
        <f t="shared" si="0"/>
        <v>April-2026</v>
      </c>
      <c r="J12" t="str">
        <f t="shared" si="1"/>
        <v>Premium</v>
      </c>
      <c r="K12" t="str">
        <f t="shared" si="2"/>
        <v>Loss</v>
      </c>
    </row>
    <row r="13" spans="1:11" x14ac:dyDescent="0.35">
      <c r="A13" s="1">
        <v>46035</v>
      </c>
      <c r="B13" t="s">
        <v>28</v>
      </c>
      <c r="C13" t="s">
        <v>23</v>
      </c>
      <c r="D13" t="s">
        <v>21</v>
      </c>
      <c r="E13" t="s">
        <v>24</v>
      </c>
      <c r="F13">
        <v>4566.59</v>
      </c>
      <c r="G13">
        <v>584.41</v>
      </c>
      <c r="H13">
        <v>7</v>
      </c>
      <c r="I13" t="str">
        <f t="shared" si="0"/>
        <v>January-2026</v>
      </c>
      <c r="J13" t="str">
        <f t="shared" si="1"/>
        <v>Premium</v>
      </c>
      <c r="K13" t="str">
        <f t="shared" si="2"/>
        <v>Profit</v>
      </c>
    </row>
    <row r="14" spans="1:11" x14ac:dyDescent="0.35">
      <c r="A14" s="1">
        <v>46128</v>
      </c>
      <c r="B14" t="s">
        <v>18</v>
      </c>
      <c r="C14" t="s">
        <v>17</v>
      </c>
      <c r="D14" t="s">
        <v>10</v>
      </c>
      <c r="E14" t="s">
        <v>11</v>
      </c>
      <c r="F14">
        <v>1844.88</v>
      </c>
      <c r="G14">
        <v>-71.62</v>
      </c>
      <c r="H14">
        <v>6</v>
      </c>
      <c r="I14" t="str">
        <f t="shared" si="0"/>
        <v>April-2026</v>
      </c>
      <c r="J14" t="str">
        <f t="shared" si="1"/>
        <v>Premium</v>
      </c>
      <c r="K14" t="str">
        <f t="shared" si="2"/>
        <v>Loss</v>
      </c>
    </row>
    <row r="15" spans="1:11" x14ac:dyDescent="0.35">
      <c r="A15" s="1">
        <v>45837</v>
      </c>
      <c r="B15" t="s">
        <v>20</v>
      </c>
      <c r="C15" t="s">
        <v>23</v>
      </c>
      <c r="D15" t="s">
        <v>14</v>
      </c>
      <c r="E15" t="s">
        <v>29</v>
      </c>
      <c r="F15">
        <v>3512.69</v>
      </c>
      <c r="G15">
        <v>-349.51</v>
      </c>
      <c r="H15">
        <v>9</v>
      </c>
      <c r="I15" t="str">
        <f t="shared" si="0"/>
        <v>June-2025</v>
      </c>
      <c r="J15" t="str">
        <f t="shared" si="1"/>
        <v>Premium</v>
      </c>
      <c r="K15" t="str">
        <f t="shared" si="2"/>
        <v>Loss</v>
      </c>
    </row>
    <row r="16" spans="1:11" x14ac:dyDescent="0.35">
      <c r="A16" s="1">
        <v>45939</v>
      </c>
      <c r="B16" t="s">
        <v>30</v>
      </c>
      <c r="C16" t="s">
        <v>17</v>
      </c>
      <c r="D16" t="s">
        <v>14</v>
      </c>
      <c r="E16" t="s">
        <v>15</v>
      </c>
      <c r="F16">
        <v>421.72</v>
      </c>
      <c r="G16">
        <v>-8.2899999999999991</v>
      </c>
      <c r="H16">
        <v>5</v>
      </c>
      <c r="I16" t="str">
        <f t="shared" si="0"/>
        <v>October-2025</v>
      </c>
      <c r="J16" t="str">
        <f t="shared" si="1"/>
        <v>Regular</v>
      </c>
      <c r="K16" t="str">
        <f t="shared" si="2"/>
        <v>Loss</v>
      </c>
    </row>
    <row r="17" spans="1:11" x14ac:dyDescent="0.35">
      <c r="A17" s="1">
        <v>45744</v>
      </c>
      <c r="B17" t="s">
        <v>16</v>
      </c>
      <c r="C17" t="s">
        <v>9</v>
      </c>
      <c r="D17" t="s">
        <v>14</v>
      </c>
      <c r="E17" t="s">
        <v>25</v>
      </c>
      <c r="F17">
        <v>3610.88</v>
      </c>
      <c r="G17">
        <v>60.78</v>
      </c>
      <c r="H17">
        <v>8</v>
      </c>
      <c r="I17" t="str">
        <f t="shared" si="0"/>
        <v>March-2025</v>
      </c>
      <c r="J17" t="str">
        <f t="shared" si="1"/>
        <v>Premium</v>
      </c>
      <c r="K17" t="str">
        <f t="shared" si="2"/>
        <v>Profit</v>
      </c>
    </row>
    <row r="18" spans="1:11" x14ac:dyDescent="0.35">
      <c r="A18" s="1">
        <v>45961</v>
      </c>
      <c r="B18" t="s">
        <v>26</v>
      </c>
      <c r="C18" t="s">
        <v>13</v>
      </c>
      <c r="D18" t="s">
        <v>14</v>
      </c>
      <c r="E18" t="s">
        <v>29</v>
      </c>
      <c r="F18">
        <v>4680.54</v>
      </c>
      <c r="G18">
        <v>602.48</v>
      </c>
      <c r="H18">
        <v>4</v>
      </c>
      <c r="I18" t="str">
        <f t="shared" si="0"/>
        <v>October-2025</v>
      </c>
      <c r="J18" t="str">
        <f t="shared" si="1"/>
        <v>Premium</v>
      </c>
      <c r="K18" t="str">
        <f t="shared" si="2"/>
        <v>Profit</v>
      </c>
    </row>
    <row r="19" spans="1:11" x14ac:dyDescent="0.35">
      <c r="A19" s="1">
        <v>45829</v>
      </c>
      <c r="B19" t="s">
        <v>30</v>
      </c>
      <c r="C19" t="s">
        <v>13</v>
      </c>
      <c r="D19" t="s">
        <v>10</v>
      </c>
      <c r="E19" t="s">
        <v>11</v>
      </c>
      <c r="F19">
        <v>3847.41</v>
      </c>
      <c r="G19">
        <v>884.41</v>
      </c>
      <c r="H19">
        <v>9</v>
      </c>
      <c r="I19" t="str">
        <f t="shared" si="0"/>
        <v>June-2025</v>
      </c>
      <c r="J19" t="str">
        <f t="shared" si="1"/>
        <v>Premium</v>
      </c>
      <c r="K19" t="str">
        <f t="shared" si="2"/>
        <v>Profit</v>
      </c>
    </row>
    <row r="20" spans="1:11" x14ac:dyDescent="0.35">
      <c r="A20" s="1">
        <v>46068</v>
      </c>
      <c r="B20" t="s">
        <v>18</v>
      </c>
      <c r="C20" t="s">
        <v>13</v>
      </c>
      <c r="D20" t="s">
        <v>10</v>
      </c>
      <c r="E20" t="s">
        <v>19</v>
      </c>
      <c r="F20">
        <v>1138.2</v>
      </c>
      <c r="G20">
        <v>-37.049999999999997</v>
      </c>
      <c r="H20">
        <v>2</v>
      </c>
      <c r="I20" t="str">
        <f t="shared" si="0"/>
        <v>February-2026</v>
      </c>
      <c r="J20" t="str">
        <f t="shared" si="1"/>
        <v>Premium</v>
      </c>
      <c r="K20" t="str">
        <f t="shared" si="2"/>
        <v>Loss</v>
      </c>
    </row>
    <row r="21" spans="1:11" x14ac:dyDescent="0.35">
      <c r="A21" s="1">
        <v>46087</v>
      </c>
      <c r="B21" t="s">
        <v>30</v>
      </c>
      <c r="C21" t="s">
        <v>9</v>
      </c>
      <c r="D21" t="s">
        <v>14</v>
      </c>
      <c r="E21" t="s">
        <v>25</v>
      </c>
      <c r="F21">
        <v>200.77</v>
      </c>
      <c r="G21">
        <v>-1.6</v>
      </c>
      <c r="H21">
        <v>3</v>
      </c>
      <c r="I21" t="str">
        <f t="shared" si="0"/>
        <v>March-2026</v>
      </c>
      <c r="J21" t="str">
        <f t="shared" si="1"/>
        <v>Regular</v>
      </c>
      <c r="K21" t="str">
        <f t="shared" si="2"/>
        <v>Loss</v>
      </c>
    </row>
    <row r="22" spans="1:11" x14ac:dyDescent="0.35">
      <c r="A22" s="1">
        <v>45690</v>
      </c>
      <c r="B22" t="s">
        <v>28</v>
      </c>
      <c r="C22" t="s">
        <v>17</v>
      </c>
      <c r="D22" t="s">
        <v>21</v>
      </c>
      <c r="E22" t="s">
        <v>27</v>
      </c>
      <c r="F22">
        <v>3009.44</v>
      </c>
      <c r="G22">
        <v>529.74</v>
      </c>
      <c r="H22">
        <v>9</v>
      </c>
      <c r="I22" t="str">
        <f t="shared" si="0"/>
        <v>February-2025</v>
      </c>
      <c r="J22" t="str">
        <f t="shared" si="1"/>
        <v>Premium</v>
      </c>
      <c r="K22" t="str">
        <f t="shared" si="2"/>
        <v>Profit</v>
      </c>
    </row>
    <row r="23" spans="1:11" x14ac:dyDescent="0.35">
      <c r="A23" s="1">
        <v>46158</v>
      </c>
      <c r="B23" t="s">
        <v>18</v>
      </c>
      <c r="C23" t="s">
        <v>9</v>
      </c>
      <c r="D23" t="s">
        <v>14</v>
      </c>
      <c r="E23" t="s">
        <v>29</v>
      </c>
      <c r="F23">
        <v>3393.79</v>
      </c>
      <c r="G23">
        <v>969.33</v>
      </c>
      <c r="H23">
        <v>7</v>
      </c>
      <c r="I23" t="str">
        <f t="shared" si="0"/>
        <v>May-2026</v>
      </c>
      <c r="J23" t="str">
        <f t="shared" si="1"/>
        <v>Premium</v>
      </c>
      <c r="K23" t="str">
        <f t="shared" si="2"/>
        <v>Profit</v>
      </c>
    </row>
    <row r="24" spans="1:11" x14ac:dyDescent="0.35">
      <c r="A24" s="1">
        <v>46148</v>
      </c>
      <c r="B24" t="s">
        <v>12</v>
      </c>
      <c r="C24" t="s">
        <v>9</v>
      </c>
      <c r="D24" t="s">
        <v>14</v>
      </c>
      <c r="E24" t="s">
        <v>25</v>
      </c>
      <c r="F24">
        <v>4294.3999999999996</v>
      </c>
      <c r="G24">
        <v>883.53</v>
      </c>
      <c r="H24">
        <v>2</v>
      </c>
      <c r="I24" t="str">
        <f t="shared" si="0"/>
        <v>May-2026</v>
      </c>
      <c r="J24" t="str">
        <f t="shared" si="1"/>
        <v>Premium</v>
      </c>
      <c r="K24" t="str">
        <f t="shared" si="2"/>
        <v>Profit</v>
      </c>
    </row>
    <row r="25" spans="1:11" x14ac:dyDescent="0.35">
      <c r="A25" s="1">
        <v>45928</v>
      </c>
      <c r="B25" t="s">
        <v>18</v>
      </c>
      <c r="C25" t="s">
        <v>17</v>
      </c>
      <c r="D25" t="s">
        <v>21</v>
      </c>
      <c r="E25" t="s">
        <v>27</v>
      </c>
      <c r="F25">
        <v>3867.18</v>
      </c>
      <c r="G25">
        <v>1149.18</v>
      </c>
      <c r="H25">
        <v>10</v>
      </c>
      <c r="I25" t="str">
        <f t="shared" si="0"/>
        <v>September-2025</v>
      </c>
      <c r="J25" t="str">
        <f t="shared" si="1"/>
        <v>Premium</v>
      </c>
      <c r="K25" t="str">
        <f t="shared" si="2"/>
        <v>Profit</v>
      </c>
    </row>
    <row r="26" spans="1:11" x14ac:dyDescent="0.35">
      <c r="A26" s="1">
        <v>45661</v>
      </c>
      <c r="B26" t="s">
        <v>12</v>
      </c>
      <c r="C26" t="s">
        <v>17</v>
      </c>
      <c r="D26" t="s">
        <v>21</v>
      </c>
      <c r="E26" t="s">
        <v>22</v>
      </c>
      <c r="F26">
        <v>3614.93</v>
      </c>
      <c r="G26">
        <v>360.58</v>
      </c>
      <c r="H26">
        <v>2</v>
      </c>
      <c r="I26" t="str">
        <f t="shared" si="0"/>
        <v>January-2025</v>
      </c>
      <c r="J26" t="str">
        <f t="shared" si="1"/>
        <v>Premium</v>
      </c>
      <c r="K26" t="str">
        <f t="shared" si="2"/>
        <v>Profit</v>
      </c>
    </row>
    <row r="27" spans="1:11" x14ac:dyDescent="0.35">
      <c r="A27" s="1">
        <v>45888</v>
      </c>
      <c r="B27" t="s">
        <v>12</v>
      </c>
      <c r="C27" t="s">
        <v>9</v>
      </c>
      <c r="D27" t="s">
        <v>10</v>
      </c>
      <c r="E27" t="s">
        <v>11</v>
      </c>
      <c r="F27">
        <v>4107.09</v>
      </c>
      <c r="G27">
        <v>423.25</v>
      </c>
      <c r="H27">
        <v>7</v>
      </c>
      <c r="I27" t="str">
        <f t="shared" si="0"/>
        <v>August-2025</v>
      </c>
      <c r="J27" t="str">
        <f t="shared" si="1"/>
        <v>Premium</v>
      </c>
      <c r="K27" t="str">
        <f t="shared" si="2"/>
        <v>Profit</v>
      </c>
    </row>
    <row r="28" spans="1:11" x14ac:dyDescent="0.35">
      <c r="A28" s="1">
        <v>46149</v>
      </c>
      <c r="B28" t="s">
        <v>12</v>
      </c>
      <c r="C28" t="s">
        <v>13</v>
      </c>
      <c r="D28" t="s">
        <v>14</v>
      </c>
      <c r="E28" t="s">
        <v>29</v>
      </c>
      <c r="F28">
        <v>2386.88</v>
      </c>
      <c r="G28">
        <v>643.73</v>
      </c>
      <c r="H28">
        <v>3</v>
      </c>
      <c r="I28" t="str">
        <f t="shared" si="0"/>
        <v>May-2026</v>
      </c>
      <c r="J28" t="str">
        <f t="shared" si="1"/>
        <v>Premium</v>
      </c>
      <c r="K28" t="str">
        <f t="shared" si="2"/>
        <v>Profit</v>
      </c>
    </row>
    <row r="29" spans="1:11" x14ac:dyDescent="0.35">
      <c r="A29" s="1">
        <v>45853</v>
      </c>
      <c r="B29" t="s">
        <v>30</v>
      </c>
      <c r="C29" t="s">
        <v>17</v>
      </c>
      <c r="D29" t="s">
        <v>14</v>
      </c>
      <c r="E29" t="s">
        <v>15</v>
      </c>
      <c r="F29">
        <v>740.39</v>
      </c>
      <c r="G29">
        <v>-0.49</v>
      </c>
      <c r="H29">
        <v>8</v>
      </c>
      <c r="I29" t="str">
        <f t="shared" si="0"/>
        <v>July-2025</v>
      </c>
      <c r="J29" t="str">
        <f t="shared" si="1"/>
        <v>Regular</v>
      </c>
      <c r="K29" t="str">
        <f t="shared" si="2"/>
        <v>Loss</v>
      </c>
    </row>
    <row r="30" spans="1:11" x14ac:dyDescent="0.35">
      <c r="A30" s="1">
        <v>45760</v>
      </c>
      <c r="B30" t="s">
        <v>31</v>
      </c>
      <c r="C30" t="s">
        <v>9</v>
      </c>
      <c r="D30" t="s">
        <v>14</v>
      </c>
      <c r="E30" t="s">
        <v>25</v>
      </c>
      <c r="F30">
        <v>4669.1899999999996</v>
      </c>
      <c r="G30">
        <v>1233.99</v>
      </c>
      <c r="H30">
        <v>9</v>
      </c>
      <c r="I30" t="str">
        <f t="shared" si="0"/>
        <v>April-2025</v>
      </c>
      <c r="J30" t="str">
        <f t="shared" si="1"/>
        <v>Premium</v>
      </c>
      <c r="K30" t="str">
        <f t="shared" si="2"/>
        <v>Profit</v>
      </c>
    </row>
    <row r="31" spans="1:11" x14ac:dyDescent="0.35">
      <c r="A31" s="1">
        <v>45943</v>
      </c>
      <c r="B31" t="s">
        <v>12</v>
      </c>
      <c r="C31" t="s">
        <v>23</v>
      </c>
      <c r="D31" t="s">
        <v>14</v>
      </c>
      <c r="E31" t="s">
        <v>25</v>
      </c>
      <c r="F31">
        <v>3428.26</v>
      </c>
      <c r="G31">
        <v>713.12</v>
      </c>
      <c r="H31">
        <v>4</v>
      </c>
      <c r="I31" t="str">
        <f t="shared" si="0"/>
        <v>October-2025</v>
      </c>
      <c r="J31" t="str">
        <f t="shared" si="1"/>
        <v>Premium</v>
      </c>
      <c r="K31" t="str">
        <f t="shared" si="2"/>
        <v>Profit</v>
      </c>
    </row>
    <row r="32" spans="1:11" x14ac:dyDescent="0.35">
      <c r="A32" s="1">
        <v>45941</v>
      </c>
      <c r="B32" t="s">
        <v>31</v>
      </c>
      <c r="C32" t="s">
        <v>9</v>
      </c>
      <c r="D32" t="s">
        <v>10</v>
      </c>
      <c r="E32" t="s">
        <v>11</v>
      </c>
      <c r="F32">
        <v>843.57</v>
      </c>
      <c r="G32">
        <v>-38.76</v>
      </c>
      <c r="H32">
        <v>7</v>
      </c>
      <c r="I32" t="str">
        <f t="shared" si="0"/>
        <v>October-2025</v>
      </c>
      <c r="J32" t="str">
        <f t="shared" si="1"/>
        <v>Regular</v>
      </c>
      <c r="K32" t="str">
        <f t="shared" si="2"/>
        <v>Loss</v>
      </c>
    </row>
    <row r="33" spans="1:11" x14ac:dyDescent="0.35">
      <c r="A33" s="1">
        <v>46101</v>
      </c>
      <c r="B33" t="s">
        <v>18</v>
      </c>
      <c r="C33" t="s">
        <v>13</v>
      </c>
      <c r="D33" t="s">
        <v>14</v>
      </c>
      <c r="E33" t="s">
        <v>15</v>
      </c>
      <c r="F33">
        <v>2086.0700000000002</v>
      </c>
      <c r="G33">
        <v>605.4</v>
      </c>
      <c r="H33">
        <v>7</v>
      </c>
      <c r="I33" t="str">
        <f t="shared" si="0"/>
        <v>March-2026</v>
      </c>
      <c r="J33" t="str">
        <f t="shared" si="1"/>
        <v>Premium</v>
      </c>
      <c r="K33" t="str">
        <f t="shared" si="2"/>
        <v>Profit</v>
      </c>
    </row>
    <row r="34" spans="1:11" x14ac:dyDescent="0.35">
      <c r="A34" s="1">
        <v>45669</v>
      </c>
      <c r="B34" t="s">
        <v>26</v>
      </c>
      <c r="C34" t="s">
        <v>9</v>
      </c>
      <c r="D34" t="s">
        <v>21</v>
      </c>
      <c r="E34" t="s">
        <v>22</v>
      </c>
      <c r="F34">
        <v>1553.97</v>
      </c>
      <c r="G34">
        <v>430.55</v>
      </c>
      <c r="H34">
        <v>7</v>
      </c>
      <c r="I34" t="str">
        <f t="shared" si="0"/>
        <v>January-2025</v>
      </c>
      <c r="J34" t="str">
        <f t="shared" si="1"/>
        <v>Premium</v>
      </c>
      <c r="K34" t="str">
        <f t="shared" si="2"/>
        <v>Profit</v>
      </c>
    </row>
    <row r="35" spans="1:11" x14ac:dyDescent="0.35">
      <c r="A35" s="1">
        <v>45726</v>
      </c>
      <c r="B35" t="s">
        <v>12</v>
      </c>
      <c r="C35" t="s">
        <v>23</v>
      </c>
      <c r="D35" t="s">
        <v>14</v>
      </c>
      <c r="E35" t="s">
        <v>29</v>
      </c>
      <c r="F35">
        <v>728.06</v>
      </c>
      <c r="G35">
        <v>-66.25</v>
      </c>
      <c r="H35">
        <v>2</v>
      </c>
      <c r="I35" t="str">
        <f t="shared" si="0"/>
        <v>March-2025</v>
      </c>
      <c r="J35" t="str">
        <f t="shared" si="1"/>
        <v>Regular</v>
      </c>
      <c r="K35" t="str">
        <f t="shared" si="2"/>
        <v>Loss</v>
      </c>
    </row>
    <row r="36" spans="1:11" x14ac:dyDescent="0.35">
      <c r="A36" s="1">
        <v>46019</v>
      </c>
      <c r="B36" t="s">
        <v>26</v>
      </c>
      <c r="C36" t="s">
        <v>23</v>
      </c>
      <c r="D36" t="s">
        <v>14</v>
      </c>
      <c r="E36" t="s">
        <v>15</v>
      </c>
      <c r="F36">
        <v>3312.93</v>
      </c>
      <c r="G36">
        <v>-278.60000000000002</v>
      </c>
      <c r="H36">
        <v>7</v>
      </c>
      <c r="I36" t="str">
        <f t="shared" si="0"/>
        <v>December-2025</v>
      </c>
      <c r="J36" t="str">
        <f t="shared" si="1"/>
        <v>Premium</v>
      </c>
      <c r="K36" t="str">
        <f t="shared" si="2"/>
        <v>Loss</v>
      </c>
    </row>
    <row r="37" spans="1:11" x14ac:dyDescent="0.35">
      <c r="A37" s="1">
        <v>46127</v>
      </c>
      <c r="B37" t="s">
        <v>28</v>
      </c>
      <c r="C37" t="s">
        <v>9</v>
      </c>
      <c r="D37" t="s">
        <v>21</v>
      </c>
      <c r="E37" t="s">
        <v>24</v>
      </c>
      <c r="F37">
        <v>562.4</v>
      </c>
      <c r="G37">
        <v>153.97</v>
      </c>
      <c r="H37">
        <v>9</v>
      </c>
      <c r="I37" t="str">
        <f t="shared" si="0"/>
        <v>April-2026</v>
      </c>
      <c r="J37" t="str">
        <f t="shared" si="1"/>
        <v>Regular</v>
      </c>
      <c r="K37" t="str">
        <f t="shared" si="2"/>
        <v>Profit</v>
      </c>
    </row>
    <row r="38" spans="1:11" x14ac:dyDescent="0.35">
      <c r="A38" s="1">
        <v>45774</v>
      </c>
      <c r="B38" t="s">
        <v>30</v>
      </c>
      <c r="C38" t="s">
        <v>23</v>
      </c>
      <c r="D38" t="s">
        <v>14</v>
      </c>
      <c r="E38" t="s">
        <v>15</v>
      </c>
      <c r="F38">
        <v>2530.38</v>
      </c>
      <c r="G38">
        <v>-54.31</v>
      </c>
      <c r="H38">
        <v>8</v>
      </c>
      <c r="I38" t="str">
        <f t="shared" si="0"/>
        <v>April-2025</v>
      </c>
      <c r="J38" t="str">
        <f t="shared" si="1"/>
        <v>Premium</v>
      </c>
      <c r="K38" t="str">
        <f t="shared" si="2"/>
        <v>Loss</v>
      </c>
    </row>
    <row r="39" spans="1:11" x14ac:dyDescent="0.35">
      <c r="A39" s="1">
        <v>45942</v>
      </c>
      <c r="B39" t="s">
        <v>30</v>
      </c>
      <c r="C39" t="s">
        <v>17</v>
      </c>
      <c r="D39" t="s">
        <v>14</v>
      </c>
      <c r="E39" t="s">
        <v>15</v>
      </c>
      <c r="F39">
        <v>1847.04</v>
      </c>
      <c r="G39">
        <v>442.56</v>
      </c>
      <c r="H39">
        <v>10</v>
      </c>
      <c r="I39" t="str">
        <f t="shared" si="0"/>
        <v>October-2025</v>
      </c>
      <c r="J39" t="str">
        <f t="shared" si="1"/>
        <v>Premium</v>
      </c>
      <c r="K39" t="str">
        <f t="shared" si="2"/>
        <v>Profit</v>
      </c>
    </row>
    <row r="40" spans="1:11" x14ac:dyDescent="0.35">
      <c r="A40" s="1">
        <v>45787</v>
      </c>
      <c r="B40" t="s">
        <v>18</v>
      </c>
      <c r="C40" t="s">
        <v>13</v>
      </c>
      <c r="D40" t="s">
        <v>21</v>
      </c>
      <c r="E40" t="s">
        <v>24</v>
      </c>
      <c r="F40">
        <v>2578.8200000000002</v>
      </c>
      <c r="G40">
        <v>387.94</v>
      </c>
      <c r="H40">
        <v>8</v>
      </c>
      <c r="I40" t="str">
        <f t="shared" si="0"/>
        <v>May-2025</v>
      </c>
      <c r="J40" t="str">
        <f t="shared" si="1"/>
        <v>Premium</v>
      </c>
      <c r="K40" t="str">
        <f t="shared" si="2"/>
        <v>Profit</v>
      </c>
    </row>
    <row r="41" spans="1:11" x14ac:dyDescent="0.35">
      <c r="A41" s="1">
        <v>45762</v>
      </c>
      <c r="B41" t="s">
        <v>26</v>
      </c>
      <c r="C41" t="s">
        <v>9</v>
      </c>
      <c r="D41" t="s">
        <v>21</v>
      </c>
      <c r="E41" t="s">
        <v>22</v>
      </c>
      <c r="F41">
        <v>4615.97</v>
      </c>
      <c r="G41">
        <v>-149.80000000000001</v>
      </c>
      <c r="H41">
        <v>4</v>
      </c>
      <c r="I41" t="str">
        <f t="shared" si="0"/>
        <v>April-2025</v>
      </c>
      <c r="J41" t="str">
        <f t="shared" si="1"/>
        <v>Premium</v>
      </c>
      <c r="K41" t="str">
        <f t="shared" si="2"/>
        <v>Loss</v>
      </c>
    </row>
    <row r="42" spans="1:11" x14ac:dyDescent="0.35">
      <c r="A42" s="1">
        <v>45819</v>
      </c>
      <c r="B42" t="s">
        <v>12</v>
      </c>
      <c r="C42" t="s">
        <v>17</v>
      </c>
      <c r="D42" t="s">
        <v>21</v>
      </c>
      <c r="E42" t="s">
        <v>27</v>
      </c>
      <c r="F42">
        <v>4509.32</v>
      </c>
      <c r="G42">
        <v>-410.81</v>
      </c>
      <c r="H42">
        <v>10</v>
      </c>
      <c r="I42" t="str">
        <f t="shared" si="0"/>
        <v>June-2025</v>
      </c>
      <c r="J42" t="str">
        <f t="shared" si="1"/>
        <v>Premium</v>
      </c>
      <c r="K42" t="str">
        <f t="shared" si="2"/>
        <v>Loss</v>
      </c>
    </row>
    <row r="43" spans="1:11" x14ac:dyDescent="0.35">
      <c r="A43" s="1">
        <v>46008</v>
      </c>
      <c r="B43" t="s">
        <v>12</v>
      </c>
      <c r="C43" t="s">
        <v>9</v>
      </c>
      <c r="D43" t="s">
        <v>14</v>
      </c>
      <c r="E43" t="s">
        <v>29</v>
      </c>
      <c r="F43">
        <v>1871.14</v>
      </c>
      <c r="G43">
        <v>237.83</v>
      </c>
      <c r="H43">
        <v>8</v>
      </c>
      <c r="I43" t="str">
        <f t="shared" si="0"/>
        <v>December-2025</v>
      </c>
      <c r="J43" t="str">
        <f t="shared" si="1"/>
        <v>Premium</v>
      </c>
      <c r="K43" t="str">
        <f t="shared" si="2"/>
        <v>Profit</v>
      </c>
    </row>
    <row r="44" spans="1:11" x14ac:dyDescent="0.35">
      <c r="A44" s="1">
        <v>45951</v>
      </c>
      <c r="B44" t="s">
        <v>31</v>
      </c>
      <c r="C44" t="s">
        <v>13</v>
      </c>
      <c r="D44" t="s">
        <v>21</v>
      </c>
      <c r="E44" t="s">
        <v>24</v>
      </c>
      <c r="F44">
        <v>1494.51</v>
      </c>
      <c r="G44">
        <v>234.5</v>
      </c>
      <c r="H44">
        <v>1</v>
      </c>
      <c r="I44" t="str">
        <f t="shared" si="0"/>
        <v>October-2025</v>
      </c>
      <c r="J44" t="str">
        <f t="shared" si="1"/>
        <v>Premium</v>
      </c>
      <c r="K44" t="str">
        <f t="shared" si="2"/>
        <v>Profit</v>
      </c>
    </row>
    <row r="45" spans="1:11" x14ac:dyDescent="0.35">
      <c r="A45" s="1">
        <v>45715</v>
      </c>
      <c r="B45" t="s">
        <v>31</v>
      </c>
      <c r="C45" t="s">
        <v>13</v>
      </c>
      <c r="D45" t="s">
        <v>10</v>
      </c>
      <c r="E45" t="s">
        <v>32</v>
      </c>
      <c r="F45">
        <v>4235.67</v>
      </c>
      <c r="G45">
        <v>720.66</v>
      </c>
      <c r="H45">
        <v>9</v>
      </c>
      <c r="I45" t="str">
        <f t="shared" si="0"/>
        <v>February-2025</v>
      </c>
      <c r="J45" t="str">
        <f t="shared" si="1"/>
        <v>Premium</v>
      </c>
      <c r="K45" t="str">
        <f t="shared" si="2"/>
        <v>Profit</v>
      </c>
    </row>
    <row r="46" spans="1:11" x14ac:dyDescent="0.35">
      <c r="A46" s="1">
        <v>46088</v>
      </c>
      <c r="B46" t="s">
        <v>33</v>
      </c>
      <c r="C46" t="s">
        <v>23</v>
      </c>
      <c r="D46" t="s">
        <v>21</v>
      </c>
      <c r="E46" t="s">
        <v>27</v>
      </c>
      <c r="F46">
        <v>1072.6199999999999</v>
      </c>
      <c r="G46">
        <v>181.42</v>
      </c>
      <c r="H46">
        <v>10</v>
      </c>
      <c r="I46" t="str">
        <f t="shared" si="0"/>
        <v>March-2026</v>
      </c>
      <c r="J46" t="str">
        <f t="shared" si="1"/>
        <v>Premium</v>
      </c>
      <c r="K46" t="str">
        <f t="shared" si="2"/>
        <v>Profit</v>
      </c>
    </row>
    <row r="47" spans="1:11" x14ac:dyDescent="0.35">
      <c r="A47" s="1">
        <v>45677</v>
      </c>
      <c r="B47" t="s">
        <v>20</v>
      </c>
      <c r="C47" t="s">
        <v>23</v>
      </c>
      <c r="D47" t="s">
        <v>14</v>
      </c>
      <c r="E47" t="s">
        <v>29</v>
      </c>
      <c r="F47">
        <v>3033.13</v>
      </c>
      <c r="G47">
        <v>514.6</v>
      </c>
      <c r="H47">
        <v>6</v>
      </c>
      <c r="I47" t="str">
        <f t="shared" si="0"/>
        <v>January-2025</v>
      </c>
      <c r="J47" t="str">
        <f t="shared" si="1"/>
        <v>Premium</v>
      </c>
      <c r="K47" t="str">
        <f t="shared" si="2"/>
        <v>Profit</v>
      </c>
    </row>
    <row r="48" spans="1:11" x14ac:dyDescent="0.35">
      <c r="A48" s="1">
        <v>45716</v>
      </c>
      <c r="B48" t="s">
        <v>31</v>
      </c>
      <c r="C48" t="s">
        <v>9</v>
      </c>
      <c r="D48" t="s">
        <v>21</v>
      </c>
      <c r="E48" t="s">
        <v>22</v>
      </c>
      <c r="F48">
        <v>1096.92</v>
      </c>
      <c r="G48">
        <v>61.97</v>
      </c>
      <c r="H48">
        <v>6</v>
      </c>
      <c r="I48" t="str">
        <f t="shared" si="0"/>
        <v>February-2025</v>
      </c>
      <c r="J48" t="str">
        <f t="shared" si="1"/>
        <v>Premium</v>
      </c>
      <c r="K48" t="str">
        <f t="shared" si="2"/>
        <v>Profit</v>
      </c>
    </row>
    <row r="49" spans="1:11" x14ac:dyDescent="0.35">
      <c r="A49" s="1">
        <v>46082</v>
      </c>
      <c r="B49" t="s">
        <v>8</v>
      </c>
      <c r="C49" t="s">
        <v>23</v>
      </c>
      <c r="D49" t="s">
        <v>21</v>
      </c>
      <c r="E49" t="s">
        <v>27</v>
      </c>
      <c r="F49">
        <v>3068.55</v>
      </c>
      <c r="G49">
        <v>801.58</v>
      </c>
      <c r="H49">
        <v>10</v>
      </c>
      <c r="I49" t="str">
        <f t="shared" si="0"/>
        <v>March-2026</v>
      </c>
      <c r="J49" t="str">
        <f t="shared" si="1"/>
        <v>Premium</v>
      </c>
      <c r="K49" t="str">
        <f t="shared" si="2"/>
        <v>Profit</v>
      </c>
    </row>
    <row r="50" spans="1:11" x14ac:dyDescent="0.35">
      <c r="A50" s="1">
        <v>46122</v>
      </c>
      <c r="B50" t="s">
        <v>28</v>
      </c>
      <c r="C50" t="s">
        <v>23</v>
      </c>
      <c r="D50" t="s">
        <v>21</v>
      </c>
      <c r="E50" t="s">
        <v>24</v>
      </c>
      <c r="F50">
        <v>2816.51</v>
      </c>
      <c r="G50">
        <v>-113.05</v>
      </c>
      <c r="H50">
        <v>10</v>
      </c>
      <c r="I50" t="str">
        <f t="shared" si="0"/>
        <v>April-2026</v>
      </c>
      <c r="J50" t="str">
        <f t="shared" si="1"/>
        <v>Premium</v>
      </c>
      <c r="K50" t="str">
        <f t="shared" si="2"/>
        <v>Loss</v>
      </c>
    </row>
    <row r="51" spans="1:11" x14ac:dyDescent="0.35">
      <c r="A51" s="1">
        <v>46114</v>
      </c>
      <c r="B51" t="s">
        <v>16</v>
      </c>
      <c r="C51" t="s">
        <v>23</v>
      </c>
      <c r="D51" t="s">
        <v>21</v>
      </c>
      <c r="E51" t="s">
        <v>22</v>
      </c>
      <c r="F51">
        <v>2286.6999999999998</v>
      </c>
      <c r="G51">
        <v>-146.79</v>
      </c>
      <c r="H51">
        <v>7</v>
      </c>
      <c r="I51" t="str">
        <f t="shared" si="0"/>
        <v>April-2026</v>
      </c>
      <c r="J51" t="str">
        <f t="shared" si="1"/>
        <v>Premium</v>
      </c>
      <c r="K51" t="str">
        <f t="shared" si="2"/>
        <v>Loss</v>
      </c>
    </row>
    <row r="52" spans="1:11" x14ac:dyDescent="0.35">
      <c r="A52" s="1">
        <v>45987</v>
      </c>
      <c r="B52" t="s">
        <v>18</v>
      </c>
      <c r="C52" t="s">
        <v>13</v>
      </c>
      <c r="D52" t="s">
        <v>21</v>
      </c>
      <c r="E52" t="s">
        <v>27</v>
      </c>
      <c r="F52">
        <v>1437.94</v>
      </c>
      <c r="G52">
        <v>126.68</v>
      </c>
      <c r="H52">
        <v>8</v>
      </c>
      <c r="I52" t="str">
        <f t="shared" si="0"/>
        <v>November-2025</v>
      </c>
      <c r="J52" t="str">
        <f t="shared" si="1"/>
        <v>Premium</v>
      </c>
      <c r="K52" t="str">
        <f t="shared" si="2"/>
        <v>Profit</v>
      </c>
    </row>
    <row r="53" spans="1:11" x14ac:dyDescent="0.35">
      <c r="A53" s="1">
        <v>46083</v>
      </c>
      <c r="B53" t="s">
        <v>16</v>
      </c>
      <c r="C53" t="s">
        <v>23</v>
      </c>
      <c r="D53" t="s">
        <v>10</v>
      </c>
      <c r="E53" t="s">
        <v>19</v>
      </c>
      <c r="F53">
        <v>2154.9</v>
      </c>
      <c r="G53">
        <v>53.02</v>
      </c>
      <c r="H53">
        <v>5</v>
      </c>
      <c r="I53" t="str">
        <f t="shared" si="0"/>
        <v>March-2026</v>
      </c>
      <c r="J53" t="str">
        <f t="shared" si="1"/>
        <v>Premium</v>
      </c>
      <c r="K53" t="str">
        <f t="shared" si="2"/>
        <v>Profit</v>
      </c>
    </row>
    <row r="54" spans="1:11" x14ac:dyDescent="0.35">
      <c r="A54" s="1">
        <v>45878</v>
      </c>
      <c r="B54" t="s">
        <v>28</v>
      </c>
      <c r="C54" t="s">
        <v>23</v>
      </c>
      <c r="D54" t="s">
        <v>10</v>
      </c>
      <c r="E54" t="s">
        <v>19</v>
      </c>
      <c r="F54">
        <v>3310.83</v>
      </c>
      <c r="G54">
        <v>461.02</v>
      </c>
      <c r="H54">
        <v>1</v>
      </c>
      <c r="I54" t="str">
        <f t="shared" si="0"/>
        <v>August-2025</v>
      </c>
      <c r="J54" t="str">
        <f t="shared" si="1"/>
        <v>Premium</v>
      </c>
      <c r="K54" t="str">
        <f t="shared" si="2"/>
        <v>Profit</v>
      </c>
    </row>
    <row r="55" spans="1:11" x14ac:dyDescent="0.35">
      <c r="A55" s="1">
        <v>45675</v>
      </c>
      <c r="B55" t="s">
        <v>26</v>
      </c>
      <c r="C55" t="s">
        <v>13</v>
      </c>
      <c r="D55" t="s">
        <v>21</v>
      </c>
      <c r="E55" t="s">
        <v>22</v>
      </c>
      <c r="F55">
        <v>4600.6099999999997</v>
      </c>
      <c r="G55">
        <v>-222.52</v>
      </c>
      <c r="H55">
        <v>6</v>
      </c>
      <c r="I55" t="str">
        <f t="shared" si="0"/>
        <v>January-2025</v>
      </c>
      <c r="J55" t="str">
        <f t="shared" si="1"/>
        <v>Premium</v>
      </c>
      <c r="K55" t="str">
        <f t="shared" si="2"/>
        <v>Loss</v>
      </c>
    </row>
    <row r="56" spans="1:11" x14ac:dyDescent="0.35">
      <c r="A56" s="1">
        <v>45695</v>
      </c>
      <c r="B56" t="s">
        <v>16</v>
      </c>
      <c r="C56" t="s">
        <v>17</v>
      </c>
      <c r="D56" t="s">
        <v>14</v>
      </c>
      <c r="E56" t="s">
        <v>15</v>
      </c>
      <c r="F56">
        <v>3303.48</v>
      </c>
      <c r="G56">
        <v>-215.18</v>
      </c>
      <c r="H56">
        <v>6</v>
      </c>
      <c r="I56" t="str">
        <f t="shared" si="0"/>
        <v>February-2025</v>
      </c>
      <c r="J56" t="str">
        <f t="shared" si="1"/>
        <v>Premium</v>
      </c>
      <c r="K56" t="str">
        <f t="shared" si="2"/>
        <v>Loss</v>
      </c>
    </row>
    <row r="57" spans="1:11" x14ac:dyDescent="0.35">
      <c r="A57" s="1">
        <v>45680</v>
      </c>
      <c r="B57" t="s">
        <v>16</v>
      </c>
      <c r="C57" t="s">
        <v>23</v>
      </c>
      <c r="D57" t="s">
        <v>14</v>
      </c>
      <c r="E57" t="s">
        <v>29</v>
      </c>
      <c r="F57">
        <v>4992.91</v>
      </c>
      <c r="G57">
        <v>54.85</v>
      </c>
      <c r="H57">
        <v>4</v>
      </c>
      <c r="I57" t="str">
        <f t="shared" si="0"/>
        <v>January-2025</v>
      </c>
      <c r="J57" t="str">
        <f t="shared" si="1"/>
        <v>Premium</v>
      </c>
      <c r="K57" t="str">
        <f t="shared" si="2"/>
        <v>Profit</v>
      </c>
    </row>
    <row r="58" spans="1:11" x14ac:dyDescent="0.35">
      <c r="A58" s="1">
        <v>45805</v>
      </c>
      <c r="B58" t="s">
        <v>20</v>
      </c>
      <c r="C58" t="s">
        <v>13</v>
      </c>
      <c r="D58" t="s">
        <v>21</v>
      </c>
      <c r="E58" t="s">
        <v>27</v>
      </c>
      <c r="F58">
        <v>755.2</v>
      </c>
      <c r="G58">
        <v>172.17</v>
      </c>
      <c r="H58">
        <v>9</v>
      </c>
      <c r="I58" t="str">
        <f t="shared" si="0"/>
        <v>May-2025</v>
      </c>
      <c r="J58" t="str">
        <f t="shared" si="1"/>
        <v>Regular</v>
      </c>
      <c r="K58" t="str">
        <f t="shared" si="2"/>
        <v>Profit</v>
      </c>
    </row>
    <row r="59" spans="1:11" x14ac:dyDescent="0.35">
      <c r="A59" s="1">
        <v>46055</v>
      </c>
      <c r="B59" t="s">
        <v>20</v>
      </c>
      <c r="C59" t="s">
        <v>13</v>
      </c>
      <c r="D59" t="s">
        <v>14</v>
      </c>
      <c r="E59" t="s">
        <v>15</v>
      </c>
      <c r="F59">
        <v>3704.61</v>
      </c>
      <c r="G59">
        <v>-309.5</v>
      </c>
      <c r="H59">
        <v>2</v>
      </c>
      <c r="I59" t="str">
        <f t="shared" si="0"/>
        <v>February-2026</v>
      </c>
      <c r="J59" t="str">
        <f t="shared" si="1"/>
        <v>Premium</v>
      </c>
      <c r="K59" t="str">
        <f t="shared" si="2"/>
        <v>Loss</v>
      </c>
    </row>
    <row r="60" spans="1:11" x14ac:dyDescent="0.35">
      <c r="A60" s="1">
        <v>45744</v>
      </c>
      <c r="B60" t="s">
        <v>33</v>
      </c>
      <c r="C60" t="s">
        <v>23</v>
      </c>
      <c r="D60" t="s">
        <v>10</v>
      </c>
      <c r="E60" t="s">
        <v>19</v>
      </c>
      <c r="F60">
        <v>3552.56</v>
      </c>
      <c r="G60">
        <v>161.05000000000001</v>
      </c>
      <c r="H60">
        <v>3</v>
      </c>
      <c r="I60" t="str">
        <f t="shared" si="0"/>
        <v>March-2025</v>
      </c>
      <c r="J60" t="str">
        <f t="shared" si="1"/>
        <v>Premium</v>
      </c>
      <c r="K60" t="str">
        <f t="shared" si="2"/>
        <v>Profit</v>
      </c>
    </row>
    <row r="61" spans="1:11" x14ac:dyDescent="0.35">
      <c r="A61" s="1">
        <v>46118</v>
      </c>
      <c r="B61" t="s">
        <v>12</v>
      </c>
      <c r="C61" t="s">
        <v>17</v>
      </c>
      <c r="D61" t="s">
        <v>10</v>
      </c>
      <c r="E61" t="s">
        <v>19</v>
      </c>
      <c r="F61">
        <v>2546.29</v>
      </c>
      <c r="G61">
        <v>657.92</v>
      </c>
      <c r="H61">
        <v>8</v>
      </c>
      <c r="I61" t="str">
        <f t="shared" si="0"/>
        <v>April-2026</v>
      </c>
      <c r="J61" t="str">
        <f t="shared" si="1"/>
        <v>Premium</v>
      </c>
      <c r="K61" t="str">
        <f t="shared" si="2"/>
        <v>Profit</v>
      </c>
    </row>
    <row r="62" spans="1:11" x14ac:dyDescent="0.35">
      <c r="A62" s="1">
        <v>46134</v>
      </c>
      <c r="B62" t="s">
        <v>31</v>
      </c>
      <c r="C62" t="s">
        <v>17</v>
      </c>
      <c r="D62" t="s">
        <v>21</v>
      </c>
      <c r="E62" t="s">
        <v>24</v>
      </c>
      <c r="F62">
        <v>4320.7700000000004</v>
      </c>
      <c r="G62">
        <v>-285.52999999999997</v>
      </c>
      <c r="H62">
        <v>8</v>
      </c>
      <c r="I62" t="str">
        <f t="shared" si="0"/>
        <v>April-2026</v>
      </c>
      <c r="J62" t="str">
        <f t="shared" si="1"/>
        <v>Premium</v>
      </c>
      <c r="K62" t="str">
        <f t="shared" si="2"/>
        <v>Loss</v>
      </c>
    </row>
    <row r="63" spans="1:11" x14ac:dyDescent="0.35">
      <c r="A63" s="1">
        <v>45871</v>
      </c>
      <c r="B63" t="s">
        <v>18</v>
      </c>
      <c r="C63" t="s">
        <v>9</v>
      </c>
      <c r="D63" t="s">
        <v>21</v>
      </c>
      <c r="E63" t="s">
        <v>27</v>
      </c>
      <c r="F63">
        <v>4304.0600000000004</v>
      </c>
      <c r="G63">
        <v>995.69</v>
      </c>
      <c r="H63">
        <v>8</v>
      </c>
      <c r="I63" t="str">
        <f t="shared" si="0"/>
        <v>August-2025</v>
      </c>
      <c r="J63" t="str">
        <f t="shared" si="1"/>
        <v>Premium</v>
      </c>
      <c r="K63" t="str">
        <f t="shared" si="2"/>
        <v>Profit</v>
      </c>
    </row>
    <row r="64" spans="1:11" x14ac:dyDescent="0.35">
      <c r="A64" s="1">
        <v>46035</v>
      </c>
      <c r="B64" t="s">
        <v>33</v>
      </c>
      <c r="C64" t="s">
        <v>9</v>
      </c>
      <c r="D64" t="s">
        <v>14</v>
      </c>
      <c r="E64" t="s">
        <v>29</v>
      </c>
      <c r="F64">
        <v>656.02</v>
      </c>
      <c r="G64">
        <v>-57.36</v>
      </c>
      <c r="H64">
        <v>1</v>
      </c>
      <c r="I64" t="str">
        <f t="shared" si="0"/>
        <v>January-2026</v>
      </c>
      <c r="J64" t="str">
        <f t="shared" si="1"/>
        <v>Regular</v>
      </c>
      <c r="K64" t="str">
        <f t="shared" si="2"/>
        <v>Loss</v>
      </c>
    </row>
    <row r="65" spans="1:11" x14ac:dyDescent="0.35">
      <c r="A65" s="1">
        <v>45898</v>
      </c>
      <c r="B65" t="s">
        <v>12</v>
      </c>
      <c r="C65" t="s">
        <v>23</v>
      </c>
      <c r="D65" t="s">
        <v>21</v>
      </c>
      <c r="E65" t="s">
        <v>27</v>
      </c>
      <c r="F65">
        <v>4590.9399999999996</v>
      </c>
      <c r="G65">
        <v>1128.2</v>
      </c>
      <c r="H65">
        <v>8</v>
      </c>
      <c r="I65" t="str">
        <f t="shared" si="0"/>
        <v>August-2025</v>
      </c>
      <c r="J65" t="str">
        <f t="shared" si="1"/>
        <v>Premium</v>
      </c>
      <c r="K65" t="str">
        <f t="shared" si="2"/>
        <v>Profit</v>
      </c>
    </row>
    <row r="66" spans="1:11" x14ac:dyDescent="0.35">
      <c r="A66" s="1">
        <v>46089</v>
      </c>
      <c r="B66" t="s">
        <v>8</v>
      </c>
      <c r="C66" t="s">
        <v>9</v>
      </c>
      <c r="D66" t="s">
        <v>21</v>
      </c>
      <c r="E66" t="s">
        <v>22</v>
      </c>
      <c r="F66">
        <v>2352.69</v>
      </c>
      <c r="G66">
        <v>302.38</v>
      </c>
      <c r="H66">
        <v>6</v>
      </c>
      <c r="I66" t="str">
        <f t="shared" si="0"/>
        <v>March-2026</v>
      </c>
      <c r="J66" t="str">
        <f t="shared" si="1"/>
        <v>Premium</v>
      </c>
      <c r="K66" t="str">
        <f t="shared" si="2"/>
        <v>Profit</v>
      </c>
    </row>
    <row r="67" spans="1:11" x14ac:dyDescent="0.35">
      <c r="A67" s="1">
        <v>45958</v>
      </c>
      <c r="B67" t="s">
        <v>28</v>
      </c>
      <c r="C67" t="s">
        <v>17</v>
      </c>
      <c r="D67" t="s">
        <v>14</v>
      </c>
      <c r="E67" t="s">
        <v>15</v>
      </c>
      <c r="F67">
        <v>1013.79</v>
      </c>
      <c r="G67">
        <v>-69.849999999999994</v>
      </c>
      <c r="H67">
        <v>2</v>
      </c>
      <c r="I67" t="str">
        <f t="shared" ref="I67:I130" si="3">TEXT(A67,"mmmm-yyyy")</f>
        <v>October-2025</v>
      </c>
      <c r="J67" t="str">
        <f t="shared" ref="J67:J130" si="4">IF(F67&gt;1000,"Premium","Regular")</f>
        <v>Premium</v>
      </c>
      <c r="K67" t="str">
        <f t="shared" ref="K67:K130" si="5">IF(G67&gt;0,"Profit","Loss")</f>
        <v>Loss</v>
      </c>
    </row>
    <row r="68" spans="1:11" x14ac:dyDescent="0.35">
      <c r="A68" s="1">
        <v>46109</v>
      </c>
      <c r="B68" t="s">
        <v>12</v>
      </c>
      <c r="C68" t="s">
        <v>13</v>
      </c>
      <c r="D68" t="s">
        <v>10</v>
      </c>
      <c r="E68" t="s">
        <v>32</v>
      </c>
      <c r="F68">
        <v>3034.34</v>
      </c>
      <c r="G68">
        <v>-303.25</v>
      </c>
      <c r="H68">
        <v>9</v>
      </c>
      <c r="I68" t="str">
        <f t="shared" si="3"/>
        <v>March-2026</v>
      </c>
      <c r="J68" t="str">
        <f t="shared" si="4"/>
        <v>Premium</v>
      </c>
      <c r="K68" t="str">
        <f t="shared" si="5"/>
        <v>Loss</v>
      </c>
    </row>
    <row r="69" spans="1:11" x14ac:dyDescent="0.35">
      <c r="A69" s="1">
        <v>46072</v>
      </c>
      <c r="B69" t="s">
        <v>30</v>
      </c>
      <c r="C69" t="s">
        <v>23</v>
      </c>
      <c r="D69" t="s">
        <v>10</v>
      </c>
      <c r="E69" t="s">
        <v>32</v>
      </c>
      <c r="F69">
        <v>2449.96</v>
      </c>
      <c r="G69">
        <v>-208.05</v>
      </c>
      <c r="H69">
        <v>7</v>
      </c>
      <c r="I69" t="str">
        <f t="shared" si="3"/>
        <v>February-2026</v>
      </c>
      <c r="J69" t="str">
        <f t="shared" si="4"/>
        <v>Premium</v>
      </c>
      <c r="K69" t="str">
        <f t="shared" si="5"/>
        <v>Loss</v>
      </c>
    </row>
    <row r="70" spans="1:11" x14ac:dyDescent="0.35">
      <c r="A70" s="1">
        <v>45790</v>
      </c>
      <c r="B70" t="s">
        <v>33</v>
      </c>
      <c r="C70" t="s">
        <v>13</v>
      </c>
      <c r="D70" t="s">
        <v>14</v>
      </c>
      <c r="E70" t="s">
        <v>25</v>
      </c>
      <c r="F70">
        <v>4258.95</v>
      </c>
      <c r="G70">
        <v>1112.8900000000001</v>
      </c>
      <c r="H70">
        <v>7</v>
      </c>
      <c r="I70" t="str">
        <f t="shared" si="3"/>
        <v>May-2025</v>
      </c>
      <c r="J70" t="str">
        <f t="shared" si="4"/>
        <v>Premium</v>
      </c>
      <c r="K70" t="str">
        <f t="shared" si="5"/>
        <v>Profit</v>
      </c>
    </row>
    <row r="71" spans="1:11" x14ac:dyDescent="0.35">
      <c r="A71" s="1">
        <v>45948</v>
      </c>
      <c r="B71" t="s">
        <v>31</v>
      </c>
      <c r="C71" t="s">
        <v>17</v>
      </c>
      <c r="D71" t="s">
        <v>21</v>
      </c>
      <c r="E71" t="s">
        <v>24</v>
      </c>
      <c r="F71">
        <v>2120.27</v>
      </c>
      <c r="G71">
        <v>194.61</v>
      </c>
      <c r="H71">
        <v>6</v>
      </c>
      <c r="I71" t="str">
        <f t="shared" si="3"/>
        <v>October-2025</v>
      </c>
      <c r="J71" t="str">
        <f t="shared" si="4"/>
        <v>Premium</v>
      </c>
      <c r="K71" t="str">
        <f t="shared" si="5"/>
        <v>Profit</v>
      </c>
    </row>
    <row r="72" spans="1:11" x14ac:dyDescent="0.35">
      <c r="A72" s="1">
        <v>45672</v>
      </c>
      <c r="B72" t="s">
        <v>20</v>
      </c>
      <c r="C72" t="s">
        <v>23</v>
      </c>
      <c r="D72" t="s">
        <v>21</v>
      </c>
      <c r="E72" t="s">
        <v>24</v>
      </c>
      <c r="F72">
        <v>2039.04</v>
      </c>
      <c r="G72">
        <v>14.13</v>
      </c>
      <c r="H72">
        <v>4</v>
      </c>
      <c r="I72" t="str">
        <f t="shared" si="3"/>
        <v>January-2025</v>
      </c>
      <c r="J72" t="str">
        <f t="shared" si="4"/>
        <v>Premium</v>
      </c>
      <c r="K72" t="str">
        <f t="shared" si="5"/>
        <v>Profit</v>
      </c>
    </row>
    <row r="73" spans="1:11" x14ac:dyDescent="0.35">
      <c r="A73" s="1">
        <v>46032</v>
      </c>
      <c r="B73" t="s">
        <v>18</v>
      </c>
      <c r="C73" t="s">
        <v>9</v>
      </c>
      <c r="D73" t="s">
        <v>21</v>
      </c>
      <c r="E73" t="s">
        <v>24</v>
      </c>
      <c r="F73">
        <v>4931.2</v>
      </c>
      <c r="G73">
        <v>211.18</v>
      </c>
      <c r="H73">
        <v>7</v>
      </c>
      <c r="I73" t="str">
        <f t="shared" si="3"/>
        <v>January-2026</v>
      </c>
      <c r="J73" t="str">
        <f t="shared" si="4"/>
        <v>Premium</v>
      </c>
      <c r="K73" t="str">
        <f t="shared" si="5"/>
        <v>Profit</v>
      </c>
    </row>
    <row r="74" spans="1:11" x14ac:dyDescent="0.35">
      <c r="A74" s="1">
        <v>45932</v>
      </c>
      <c r="B74" t="s">
        <v>18</v>
      </c>
      <c r="C74" t="s">
        <v>9</v>
      </c>
      <c r="D74" t="s">
        <v>10</v>
      </c>
      <c r="E74" t="s">
        <v>32</v>
      </c>
      <c r="F74">
        <v>920.49</v>
      </c>
      <c r="G74">
        <v>18.149999999999999</v>
      </c>
      <c r="H74">
        <v>7</v>
      </c>
      <c r="I74" t="str">
        <f t="shared" si="3"/>
        <v>October-2025</v>
      </c>
      <c r="J74" t="str">
        <f t="shared" si="4"/>
        <v>Regular</v>
      </c>
      <c r="K74" t="str">
        <f t="shared" si="5"/>
        <v>Profit</v>
      </c>
    </row>
    <row r="75" spans="1:11" x14ac:dyDescent="0.35">
      <c r="A75" s="1">
        <v>46140</v>
      </c>
      <c r="B75" t="s">
        <v>26</v>
      </c>
      <c r="C75" t="s">
        <v>9</v>
      </c>
      <c r="D75" t="s">
        <v>21</v>
      </c>
      <c r="E75" t="s">
        <v>22</v>
      </c>
      <c r="F75">
        <v>3511.73</v>
      </c>
      <c r="G75">
        <v>488.73</v>
      </c>
      <c r="H75">
        <v>8</v>
      </c>
      <c r="I75" t="str">
        <f t="shared" si="3"/>
        <v>April-2026</v>
      </c>
      <c r="J75" t="str">
        <f t="shared" si="4"/>
        <v>Premium</v>
      </c>
      <c r="K75" t="str">
        <f t="shared" si="5"/>
        <v>Profit</v>
      </c>
    </row>
    <row r="76" spans="1:11" x14ac:dyDescent="0.35">
      <c r="A76" s="1">
        <v>46141</v>
      </c>
      <c r="B76" t="s">
        <v>18</v>
      </c>
      <c r="C76" t="s">
        <v>23</v>
      </c>
      <c r="D76" t="s">
        <v>21</v>
      </c>
      <c r="E76" t="s">
        <v>22</v>
      </c>
      <c r="F76">
        <v>1671.3</v>
      </c>
      <c r="G76">
        <v>-146.41999999999999</v>
      </c>
      <c r="H76">
        <v>9</v>
      </c>
      <c r="I76" t="str">
        <f t="shared" si="3"/>
        <v>April-2026</v>
      </c>
      <c r="J76" t="str">
        <f t="shared" si="4"/>
        <v>Premium</v>
      </c>
      <c r="K76" t="str">
        <f t="shared" si="5"/>
        <v>Loss</v>
      </c>
    </row>
    <row r="77" spans="1:11" x14ac:dyDescent="0.35">
      <c r="A77" s="1">
        <v>45973</v>
      </c>
      <c r="B77" t="s">
        <v>30</v>
      </c>
      <c r="C77" t="s">
        <v>9</v>
      </c>
      <c r="D77" t="s">
        <v>21</v>
      </c>
      <c r="E77" t="s">
        <v>24</v>
      </c>
      <c r="F77">
        <v>4852.84</v>
      </c>
      <c r="G77">
        <v>750</v>
      </c>
      <c r="H77">
        <v>9</v>
      </c>
      <c r="I77" t="str">
        <f t="shared" si="3"/>
        <v>November-2025</v>
      </c>
      <c r="J77" t="str">
        <f t="shared" si="4"/>
        <v>Premium</v>
      </c>
      <c r="K77" t="str">
        <f t="shared" si="5"/>
        <v>Profit</v>
      </c>
    </row>
    <row r="78" spans="1:11" x14ac:dyDescent="0.35">
      <c r="A78" s="1">
        <v>45757</v>
      </c>
      <c r="B78" t="s">
        <v>33</v>
      </c>
      <c r="C78" t="s">
        <v>13</v>
      </c>
      <c r="D78" t="s">
        <v>10</v>
      </c>
      <c r="E78" t="s">
        <v>11</v>
      </c>
      <c r="F78">
        <v>3073.74</v>
      </c>
      <c r="G78">
        <v>185.38</v>
      </c>
      <c r="H78">
        <v>9</v>
      </c>
      <c r="I78" t="str">
        <f t="shared" si="3"/>
        <v>April-2025</v>
      </c>
      <c r="J78" t="str">
        <f t="shared" si="4"/>
        <v>Premium</v>
      </c>
      <c r="K78" t="str">
        <f t="shared" si="5"/>
        <v>Profit</v>
      </c>
    </row>
    <row r="79" spans="1:11" x14ac:dyDescent="0.35">
      <c r="A79" s="1">
        <v>45986</v>
      </c>
      <c r="B79" t="s">
        <v>26</v>
      </c>
      <c r="C79" t="s">
        <v>13</v>
      </c>
      <c r="D79" t="s">
        <v>14</v>
      </c>
      <c r="E79" t="s">
        <v>15</v>
      </c>
      <c r="F79">
        <v>834.96</v>
      </c>
      <c r="G79">
        <v>-27.95</v>
      </c>
      <c r="H79">
        <v>4</v>
      </c>
      <c r="I79" t="str">
        <f t="shared" si="3"/>
        <v>November-2025</v>
      </c>
      <c r="J79" t="str">
        <f t="shared" si="4"/>
        <v>Regular</v>
      </c>
      <c r="K79" t="str">
        <f t="shared" si="5"/>
        <v>Loss</v>
      </c>
    </row>
    <row r="80" spans="1:11" x14ac:dyDescent="0.35">
      <c r="A80" s="1">
        <v>46135</v>
      </c>
      <c r="B80" t="s">
        <v>8</v>
      </c>
      <c r="C80" t="s">
        <v>13</v>
      </c>
      <c r="D80" t="s">
        <v>14</v>
      </c>
      <c r="E80" t="s">
        <v>29</v>
      </c>
      <c r="F80">
        <v>1503.1</v>
      </c>
      <c r="G80">
        <v>20.78</v>
      </c>
      <c r="H80">
        <v>5</v>
      </c>
      <c r="I80" t="str">
        <f t="shared" si="3"/>
        <v>April-2026</v>
      </c>
      <c r="J80" t="str">
        <f t="shared" si="4"/>
        <v>Premium</v>
      </c>
      <c r="K80" t="str">
        <f t="shared" si="5"/>
        <v>Profit</v>
      </c>
    </row>
    <row r="81" spans="1:11" x14ac:dyDescent="0.35">
      <c r="A81" s="1">
        <v>46055</v>
      </c>
      <c r="B81" t="s">
        <v>12</v>
      </c>
      <c r="C81" t="s">
        <v>17</v>
      </c>
      <c r="D81" t="s">
        <v>21</v>
      </c>
      <c r="E81" t="s">
        <v>24</v>
      </c>
      <c r="F81">
        <v>1051.71</v>
      </c>
      <c r="G81">
        <v>167.57</v>
      </c>
      <c r="H81">
        <v>2</v>
      </c>
      <c r="I81" t="str">
        <f t="shared" si="3"/>
        <v>February-2026</v>
      </c>
      <c r="J81" t="str">
        <f t="shared" si="4"/>
        <v>Premium</v>
      </c>
      <c r="K81" t="str">
        <f t="shared" si="5"/>
        <v>Profit</v>
      </c>
    </row>
    <row r="82" spans="1:11" x14ac:dyDescent="0.35">
      <c r="A82" s="1">
        <v>46141</v>
      </c>
      <c r="B82" t="s">
        <v>28</v>
      </c>
      <c r="C82" t="s">
        <v>9</v>
      </c>
      <c r="D82" t="s">
        <v>14</v>
      </c>
      <c r="E82" t="s">
        <v>29</v>
      </c>
      <c r="F82">
        <v>4233.76</v>
      </c>
      <c r="G82">
        <v>378.54</v>
      </c>
      <c r="H82">
        <v>2</v>
      </c>
      <c r="I82" t="str">
        <f t="shared" si="3"/>
        <v>April-2026</v>
      </c>
      <c r="J82" t="str">
        <f t="shared" si="4"/>
        <v>Premium</v>
      </c>
      <c r="K82" t="str">
        <f t="shared" si="5"/>
        <v>Profit</v>
      </c>
    </row>
    <row r="83" spans="1:11" x14ac:dyDescent="0.35">
      <c r="A83" s="1">
        <v>46030</v>
      </c>
      <c r="B83" t="s">
        <v>33</v>
      </c>
      <c r="C83" t="s">
        <v>13</v>
      </c>
      <c r="D83" t="s">
        <v>10</v>
      </c>
      <c r="E83" t="s">
        <v>11</v>
      </c>
      <c r="F83">
        <v>246.67</v>
      </c>
      <c r="G83">
        <v>71.48</v>
      </c>
      <c r="H83">
        <v>8</v>
      </c>
      <c r="I83" t="str">
        <f t="shared" si="3"/>
        <v>January-2026</v>
      </c>
      <c r="J83" t="str">
        <f t="shared" si="4"/>
        <v>Regular</v>
      </c>
      <c r="K83" t="str">
        <f t="shared" si="5"/>
        <v>Profit</v>
      </c>
    </row>
    <row r="84" spans="1:11" x14ac:dyDescent="0.35">
      <c r="A84" s="1">
        <v>45799</v>
      </c>
      <c r="B84" t="s">
        <v>20</v>
      </c>
      <c r="C84" t="s">
        <v>13</v>
      </c>
      <c r="D84" t="s">
        <v>10</v>
      </c>
      <c r="E84" t="s">
        <v>11</v>
      </c>
      <c r="F84">
        <v>3858.23</v>
      </c>
      <c r="G84">
        <v>249.42</v>
      </c>
      <c r="H84">
        <v>2</v>
      </c>
      <c r="I84" t="str">
        <f t="shared" si="3"/>
        <v>May-2025</v>
      </c>
      <c r="J84" t="str">
        <f t="shared" si="4"/>
        <v>Premium</v>
      </c>
      <c r="K84" t="str">
        <f t="shared" si="5"/>
        <v>Profit</v>
      </c>
    </row>
    <row r="85" spans="1:11" x14ac:dyDescent="0.35">
      <c r="A85" s="1">
        <v>46022</v>
      </c>
      <c r="B85" t="s">
        <v>18</v>
      </c>
      <c r="C85" t="s">
        <v>17</v>
      </c>
      <c r="D85" t="s">
        <v>10</v>
      </c>
      <c r="E85" t="s">
        <v>19</v>
      </c>
      <c r="F85">
        <v>2926.23</v>
      </c>
      <c r="G85">
        <v>444.25</v>
      </c>
      <c r="H85">
        <v>8</v>
      </c>
      <c r="I85" t="str">
        <f t="shared" si="3"/>
        <v>December-2025</v>
      </c>
      <c r="J85" t="str">
        <f t="shared" si="4"/>
        <v>Premium</v>
      </c>
      <c r="K85" t="str">
        <f t="shared" si="5"/>
        <v>Profit</v>
      </c>
    </row>
    <row r="86" spans="1:11" x14ac:dyDescent="0.35">
      <c r="A86" s="1">
        <v>45725</v>
      </c>
      <c r="B86" t="s">
        <v>26</v>
      </c>
      <c r="C86" t="s">
        <v>23</v>
      </c>
      <c r="D86" t="s">
        <v>10</v>
      </c>
      <c r="E86" t="s">
        <v>11</v>
      </c>
      <c r="F86">
        <v>4191.91</v>
      </c>
      <c r="G86">
        <v>-400.48</v>
      </c>
      <c r="H86">
        <v>6</v>
      </c>
      <c r="I86" t="str">
        <f t="shared" si="3"/>
        <v>March-2025</v>
      </c>
      <c r="J86" t="str">
        <f t="shared" si="4"/>
        <v>Premium</v>
      </c>
      <c r="K86" t="str">
        <f t="shared" si="5"/>
        <v>Loss</v>
      </c>
    </row>
    <row r="87" spans="1:11" x14ac:dyDescent="0.35">
      <c r="A87" s="1">
        <v>45750</v>
      </c>
      <c r="B87" t="s">
        <v>20</v>
      </c>
      <c r="C87" t="s">
        <v>9</v>
      </c>
      <c r="D87" t="s">
        <v>21</v>
      </c>
      <c r="E87" t="s">
        <v>22</v>
      </c>
      <c r="F87">
        <v>1893.31</v>
      </c>
      <c r="G87">
        <v>348.05</v>
      </c>
      <c r="H87">
        <v>4</v>
      </c>
      <c r="I87" t="str">
        <f t="shared" si="3"/>
        <v>April-2025</v>
      </c>
      <c r="J87" t="str">
        <f t="shared" si="4"/>
        <v>Premium</v>
      </c>
      <c r="K87" t="str">
        <f t="shared" si="5"/>
        <v>Profit</v>
      </c>
    </row>
    <row r="88" spans="1:11" x14ac:dyDescent="0.35">
      <c r="A88" s="1">
        <v>46071</v>
      </c>
      <c r="B88" t="s">
        <v>31</v>
      </c>
      <c r="C88" t="s">
        <v>23</v>
      </c>
      <c r="D88" t="s">
        <v>14</v>
      </c>
      <c r="E88" t="s">
        <v>25</v>
      </c>
      <c r="F88">
        <v>290.08999999999997</v>
      </c>
      <c r="G88">
        <v>18.809999999999999</v>
      </c>
      <c r="H88">
        <v>2</v>
      </c>
      <c r="I88" t="str">
        <f t="shared" si="3"/>
        <v>February-2026</v>
      </c>
      <c r="J88" t="str">
        <f t="shared" si="4"/>
        <v>Regular</v>
      </c>
      <c r="K88" t="str">
        <f t="shared" si="5"/>
        <v>Profit</v>
      </c>
    </row>
    <row r="89" spans="1:11" x14ac:dyDescent="0.35">
      <c r="A89" s="1">
        <v>45804</v>
      </c>
      <c r="B89" t="s">
        <v>12</v>
      </c>
      <c r="C89" t="s">
        <v>17</v>
      </c>
      <c r="D89" t="s">
        <v>21</v>
      </c>
      <c r="E89" t="s">
        <v>27</v>
      </c>
      <c r="F89">
        <v>2819.78</v>
      </c>
      <c r="G89">
        <v>-76.11</v>
      </c>
      <c r="H89">
        <v>6</v>
      </c>
      <c r="I89" t="str">
        <f t="shared" si="3"/>
        <v>May-2025</v>
      </c>
      <c r="J89" t="str">
        <f t="shared" si="4"/>
        <v>Premium</v>
      </c>
      <c r="K89" t="str">
        <f t="shared" si="5"/>
        <v>Loss</v>
      </c>
    </row>
    <row r="90" spans="1:11" x14ac:dyDescent="0.35">
      <c r="A90" s="1">
        <v>46022</v>
      </c>
      <c r="B90" t="s">
        <v>16</v>
      </c>
      <c r="C90" t="s">
        <v>17</v>
      </c>
      <c r="D90" t="s">
        <v>21</v>
      </c>
      <c r="E90" t="s">
        <v>27</v>
      </c>
      <c r="F90">
        <v>1535.24</v>
      </c>
      <c r="G90">
        <v>-20.93</v>
      </c>
      <c r="H90">
        <v>9</v>
      </c>
      <c r="I90" t="str">
        <f t="shared" si="3"/>
        <v>December-2025</v>
      </c>
      <c r="J90" t="str">
        <f t="shared" si="4"/>
        <v>Premium</v>
      </c>
      <c r="K90" t="str">
        <f t="shared" si="5"/>
        <v>Loss</v>
      </c>
    </row>
    <row r="91" spans="1:11" x14ac:dyDescent="0.35">
      <c r="A91" s="1">
        <v>46151</v>
      </c>
      <c r="B91" t="s">
        <v>26</v>
      </c>
      <c r="C91" t="s">
        <v>17</v>
      </c>
      <c r="D91" t="s">
        <v>10</v>
      </c>
      <c r="E91" t="s">
        <v>11</v>
      </c>
      <c r="F91">
        <v>508.96</v>
      </c>
      <c r="G91">
        <v>98</v>
      </c>
      <c r="H91">
        <v>5</v>
      </c>
      <c r="I91" t="str">
        <f t="shared" si="3"/>
        <v>May-2026</v>
      </c>
      <c r="J91" t="str">
        <f t="shared" si="4"/>
        <v>Regular</v>
      </c>
      <c r="K91" t="str">
        <f t="shared" si="5"/>
        <v>Profit</v>
      </c>
    </row>
    <row r="92" spans="1:11" x14ac:dyDescent="0.35">
      <c r="A92" s="1">
        <v>45814</v>
      </c>
      <c r="B92" t="s">
        <v>31</v>
      </c>
      <c r="C92" t="s">
        <v>9</v>
      </c>
      <c r="D92" t="s">
        <v>10</v>
      </c>
      <c r="E92" t="s">
        <v>19</v>
      </c>
      <c r="F92">
        <v>306.95999999999998</v>
      </c>
      <c r="G92">
        <v>56.92</v>
      </c>
      <c r="H92">
        <v>2</v>
      </c>
      <c r="I92" t="str">
        <f t="shared" si="3"/>
        <v>June-2025</v>
      </c>
      <c r="J92" t="str">
        <f t="shared" si="4"/>
        <v>Regular</v>
      </c>
      <c r="K92" t="str">
        <f t="shared" si="5"/>
        <v>Profit</v>
      </c>
    </row>
    <row r="93" spans="1:11" x14ac:dyDescent="0.35">
      <c r="A93" s="1">
        <v>46147</v>
      </c>
      <c r="B93" t="s">
        <v>33</v>
      </c>
      <c r="C93" t="s">
        <v>9</v>
      </c>
      <c r="D93" t="s">
        <v>10</v>
      </c>
      <c r="E93" t="s">
        <v>19</v>
      </c>
      <c r="F93">
        <v>3759.56</v>
      </c>
      <c r="G93">
        <v>-78.430000000000007</v>
      </c>
      <c r="H93">
        <v>2</v>
      </c>
      <c r="I93" t="str">
        <f t="shared" si="3"/>
        <v>May-2026</v>
      </c>
      <c r="J93" t="str">
        <f t="shared" si="4"/>
        <v>Premium</v>
      </c>
      <c r="K93" t="str">
        <f t="shared" si="5"/>
        <v>Loss</v>
      </c>
    </row>
    <row r="94" spans="1:11" x14ac:dyDescent="0.35">
      <c r="A94" s="1">
        <v>45661</v>
      </c>
      <c r="B94" t="s">
        <v>12</v>
      </c>
      <c r="C94" t="s">
        <v>23</v>
      </c>
      <c r="D94" t="s">
        <v>14</v>
      </c>
      <c r="E94" t="s">
        <v>25</v>
      </c>
      <c r="F94">
        <v>4801.95</v>
      </c>
      <c r="G94">
        <v>28.53</v>
      </c>
      <c r="H94">
        <v>6</v>
      </c>
      <c r="I94" t="str">
        <f t="shared" si="3"/>
        <v>January-2025</v>
      </c>
      <c r="J94" t="str">
        <f t="shared" si="4"/>
        <v>Premium</v>
      </c>
      <c r="K94" t="str">
        <f t="shared" si="5"/>
        <v>Profit</v>
      </c>
    </row>
    <row r="95" spans="1:11" x14ac:dyDescent="0.35">
      <c r="A95" s="1">
        <v>45746</v>
      </c>
      <c r="B95" t="s">
        <v>18</v>
      </c>
      <c r="C95" t="s">
        <v>17</v>
      </c>
      <c r="D95" t="s">
        <v>10</v>
      </c>
      <c r="E95" t="s">
        <v>11</v>
      </c>
      <c r="F95">
        <v>2424.3000000000002</v>
      </c>
      <c r="G95">
        <v>684.55</v>
      </c>
      <c r="H95">
        <v>2</v>
      </c>
      <c r="I95" t="str">
        <f t="shared" si="3"/>
        <v>March-2025</v>
      </c>
      <c r="J95" t="str">
        <f t="shared" si="4"/>
        <v>Premium</v>
      </c>
      <c r="K95" t="str">
        <f t="shared" si="5"/>
        <v>Profit</v>
      </c>
    </row>
    <row r="96" spans="1:11" x14ac:dyDescent="0.35">
      <c r="A96" s="1">
        <v>46047</v>
      </c>
      <c r="B96" t="s">
        <v>20</v>
      </c>
      <c r="C96" t="s">
        <v>17</v>
      </c>
      <c r="D96" t="s">
        <v>10</v>
      </c>
      <c r="E96" t="s">
        <v>11</v>
      </c>
      <c r="F96">
        <v>4088.57</v>
      </c>
      <c r="G96">
        <v>202.9</v>
      </c>
      <c r="H96">
        <v>5</v>
      </c>
      <c r="I96" t="str">
        <f t="shared" si="3"/>
        <v>January-2026</v>
      </c>
      <c r="J96" t="str">
        <f t="shared" si="4"/>
        <v>Premium</v>
      </c>
      <c r="K96" t="str">
        <f t="shared" si="5"/>
        <v>Profit</v>
      </c>
    </row>
    <row r="97" spans="1:11" x14ac:dyDescent="0.35">
      <c r="A97" s="1">
        <v>45949</v>
      </c>
      <c r="B97" t="s">
        <v>20</v>
      </c>
      <c r="C97" t="s">
        <v>23</v>
      </c>
      <c r="D97" t="s">
        <v>10</v>
      </c>
      <c r="E97" t="s">
        <v>32</v>
      </c>
      <c r="F97">
        <v>3692.78</v>
      </c>
      <c r="G97">
        <v>10.76</v>
      </c>
      <c r="H97">
        <v>7</v>
      </c>
      <c r="I97" t="str">
        <f t="shared" si="3"/>
        <v>October-2025</v>
      </c>
      <c r="J97" t="str">
        <f t="shared" si="4"/>
        <v>Premium</v>
      </c>
      <c r="K97" t="str">
        <f t="shared" si="5"/>
        <v>Profit</v>
      </c>
    </row>
    <row r="98" spans="1:11" x14ac:dyDescent="0.35">
      <c r="A98" s="1">
        <v>46032</v>
      </c>
      <c r="B98" t="s">
        <v>31</v>
      </c>
      <c r="C98" t="s">
        <v>9</v>
      </c>
      <c r="D98" t="s">
        <v>14</v>
      </c>
      <c r="E98" t="s">
        <v>29</v>
      </c>
      <c r="F98">
        <v>3005.82</v>
      </c>
      <c r="G98">
        <v>-86.84</v>
      </c>
      <c r="H98">
        <v>8</v>
      </c>
      <c r="I98" t="str">
        <f t="shared" si="3"/>
        <v>January-2026</v>
      </c>
      <c r="J98" t="str">
        <f t="shared" si="4"/>
        <v>Premium</v>
      </c>
      <c r="K98" t="str">
        <f t="shared" si="5"/>
        <v>Loss</v>
      </c>
    </row>
    <row r="99" spans="1:11" x14ac:dyDescent="0.35">
      <c r="A99" s="1">
        <v>45891</v>
      </c>
      <c r="B99" t="s">
        <v>33</v>
      </c>
      <c r="C99" t="s">
        <v>9</v>
      </c>
      <c r="D99" t="s">
        <v>10</v>
      </c>
      <c r="E99" t="s">
        <v>32</v>
      </c>
      <c r="F99">
        <v>2694.95</v>
      </c>
      <c r="G99">
        <v>254.06</v>
      </c>
      <c r="H99">
        <v>6</v>
      </c>
      <c r="I99" t="str">
        <f t="shared" si="3"/>
        <v>August-2025</v>
      </c>
      <c r="J99" t="str">
        <f t="shared" si="4"/>
        <v>Premium</v>
      </c>
      <c r="K99" t="str">
        <f t="shared" si="5"/>
        <v>Profit</v>
      </c>
    </row>
    <row r="100" spans="1:11" x14ac:dyDescent="0.35">
      <c r="A100" s="1">
        <v>45944</v>
      </c>
      <c r="B100" t="s">
        <v>26</v>
      </c>
      <c r="C100" t="s">
        <v>17</v>
      </c>
      <c r="D100" t="s">
        <v>10</v>
      </c>
      <c r="E100" t="s">
        <v>32</v>
      </c>
      <c r="F100">
        <v>989.47</v>
      </c>
      <c r="G100">
        <v>245.08</v>
      </c>
      <c r="H100">
        <v>4</v>
      </c>
      <c r="I100" t="str">
        <f t="shared" si="3"/>
        <v>October-2025</v>
      </c>
      <c r="J100" t="str">
        <f t="shared" si="4"/>
        <v>Regular</v>
      </c>
      <c r="K100" t="str">
        <f t="shared" si="5"/>
        <v>Profit</v>
      </c>
    </row>
    <row r="101" spans="1:11" x14ac:dyDescent="0.35">
      <c r="A101" s="1">
        <v>45748</v>
      </c>
      <c r="B101" t="s">
        <v>26</v>
      </c>
      <c r="C101" t="s">
        <v>23</v>
      </c>
      <c r="D101" t="s">
        <v>10</v>
      </c>
      <c r="E101" t="s">
        <v>11</v>
      </c>
      <c r="F101">
        <v>1254.1600000000001</v>
      </c>
      <c r="G101">
        <v>-9.32</v>
      </c>
      <c r="H101">
        <v>5</v>
      </c>
      <c r="I101" t="str">
        <f t="shared" si="3"/>
        <v>April-2025</v>
      </c>
      <c r="J101" t="str">
        <f t="shared" si="4"/>
        <v>Premium</v>
      </c>
      <c r="K101" t="str">
        <f t="shared" si="5"/>
        <v>Loss</v>
      </c>
    </row>
    <row r="102" spans="1:11" x14ac:dyDescent="0.35">
      <c r="A102" s="1">
        <v>46155</v>
      </c>
      <c r="B102" t="s">
        <v>16</v>
      </c>
      <c r="C102" t="s">
        <v>13</v>
      </c>
      <c r="D102" t="s">
        <v>10</v>
      </c>
      <c r="E102" t="s">
        <v>11</v>
      </c>
      <c r="F102">
        <v>4535.8900000000003</v>
      </c>
      <c r="G102">
        <v>321.27999999999997</v>
      </c>
      <c r="H102">
        <v>7</v>
      </c>
      <c r="I102" t="str">
        <f t="shared" si="3"/>
        <v>May-2026</v>
      </c>
      <c r="J102" t="str">
        <f t="shared" si="4"/>
        <v>Premium</v>
      </c>
      <c r="K102" t="str">
        <f t="shared" si="5"/>
        <v>Profit</v>
      </c>
    </row>
    <row r="103" spans="1:11" x14ac:dyDescent="0.35">
      <c r="A103" s="1">
        <v>45683</v>
      </c>
      <c r="B103" t="s">
        <v>18</v>
      </c>
      <c r="C103" t="s">
        <v>23</v>
      </c>
      <c r="D103" t="s">
        <v>10</v>
      </c>
      <c r="E103" t="s">
        <v>19</v>
      </c>
      <c r="F103">
        <v>1259.8800000000001</v>
      </c>
      <c r="G103">
        <v>-44.75</v>
      </c>
      <c r="H103">
        <v>2</v>
      </c>
      <c r="I103" t="str">
        <f t="shared" si="3"/>
        <v>January-2025</v>
      </c>
      <c r="J103" t="str">
        <f t="shared" si="4"/>
        <v>Premium</v>
      </c>
      <c r="K103" t="str">
        <f t="shared" si="5"/>
        <v>Loss</v>
      </c>
    </row>
    <row r="104" spans="1:11" x14ac:dyDescent="0.35">
      <c r="A104" s="1">
        <v>46148</v>
      </c>
      <c r="B104" t="s">
        <v>18</v>
      </c>
      <c r="C104" t="s">
        <v>13</v>
      </c>
      <c r="D104" t="s">
        <v>10</v>
      </c>
      <c r="E104" t="s">
        <v>32</v>
      </c>
      <c r="F104">
        <v>3032.8</v>
      </c>
      <c r="G104">
        <v>270.25</v>
      </c>
      <c r="H104">
        <v>3</v>
      </c>
      <c r="I104" t="str">
        <f t="shared" si="3"/>
        <v>May-2026</v>
      </c>
      <c r="J104" t="str">
        <f t="shared" si="4"/>
        <v>Premium</v>
      </c>
      <c r="K104" t="str">
        <f t="shared" si="5"/>
        <v>Profit</v>
      </c>
    </row>
    <row r="105" spans="1:11" x14ac:dyDescent="0.35">
      <c r="A105" s="1">
        <v>45782</v>
      </c>
      <c r="B105" t="s">
        <v>26</v>
      </c>
      <c r="C105" t="s">
        <v>9</v>
      </c>
      <c r="D105" t="s">
        <v>10</v>
      </c>
      <c r="E105" t="s">
        <v>11</v>
      </c>
      <c r="F105">
        <v>4797.1400000000003</v>
      </c>
      <c r="G105">
        <v>990.19</v>
      </c>
      <c r="H105">
        <v>6</v>
      </c>
      <c r="I105" t="str">
        <f t="shared" si="3"/>
        <v>May-2025</v>
      </c>
      <c r="J105" t="str">
        <f t="shared" si="4"/>
        <v>Premium</v>
      </c>
      <c r="K105" t="str">
        <f t="shared" si="5"/>
        <v>Profit</v>
      </c>
    </row>
    <row r="106" spans="1:11" x14ac:dyDescent="0.35">
      <c r="A106" s="1">
        <v>45660</v>
      </c>
      <c r="B106" t="s">
        <v>30</v>
      </c>
      <c r="C106" t="s">
        <v>9</v>
      </c>
      <c r="D106" t="s">
        <v>21</v>
      </c>
      <c r="E106" t="s">
        <v>27</v>
      </c>
      <c r="F106">
        <v>2755.74</v>
      </c>
      <c r="G106">
        <v>48.15</v>
      </c>
      <c r="H106">
        <v>7</v>
      </c>
      <c r="I106" t="str">
        <f t="shared" si="3"/>
        <v>January-2025</v>
      </c>
      <c r="J106" t="str">
        <f t="shared" si="4"/>
        <v>Premium</v>
      </c>
      <c r="K106" t="str">
        <f t="shared" si="5"/>
        <v>Profit</v>
      </c>
    </row>
    <row r="107" spans="1:11" x14ac:dyDescent="0.35">
      <c r="A107" s="1">
        <v>45809</v>
      </c>
      <c r="B107" t="s">
        <v>28</v>
      </c>
      <c r="C107" t="s">
        <v>13</v>
      </c>
      <c r="D107" t="s">
        <v>21</v>
      </c>
      <c r="E107" t="s">
        <v>24</v>
      </c>
      <c r="F107">
        <v>3384.64</v>
      </c>
      <c r="G107">
        <v>6.05</v>
      </c>
      <c r="H107">
        <v>1</v>
      </c>
      <c r="I107" t="str">
        <f t="shared" si="3"/>
        <v>June-2025</v>
      </c>
      <c r="J107" t="str">
        <f t="shared" si="4"/>
        <v>Premium</v>
      </c>
      <c r="K107" t="str">
        <f t="shared" si="5"/>
        <v>Profit</v>
      </c>
    </row>
    <row r="108" spans="1:11" x14ac:dyDescent="0.35">
      <c r="A108" s="1">
        <v>45708</v>
      </c>
      <c r="B108" t="s">
        <v>18</v>
      </c>
      <c r="C108" t="s">
        <v>13</v>
      </c>
      <c r="D108" t="s">
        <v>14</v>
      </c>
      <c r="E108" t="s">
        <v>15</v>
      </c>
      <c r="F108">
        <v>2400.13</v>
      </c>
      <c r="G108">
        <v>605.30999999999995</v>
      </c>
      <c r="H108">
        <v>1</v>
      </c>
      <c r="I108" t="str">
        <f t="shared" si="3"/>
        <v>February-2025</v>
      </c>
      <c r="J108" t="str">
        <f t="shared" si="4"/>
        <v>Premium</v>
      </c>
      <c r="K108" t="str">
        <f t="shared" si="5"/>
        <v>Profit</v>
      </c>
    </row>
    <row r="109" spans="1:11" x14ac:dyDescent="0.35">
      <c r="A109" s="1">
        <v>45876</v>
      </c>
      <c r="B109" t="s">
        <v>26</v>
      </c>
      <c r="C109" t="s">
        <v>13</v>
      </c>
      <c r="D109" t="s">
        <v>14</v>
      </c>
      <c r="E109" t="s">
        <v>25</v>
      </c>
      <c r="F109">
        <v>544.44000000000005</v>
      </c>
      <c r="G109">
        <v>159.19</v>
      </c>
      <c r="H109">
        <v>10</v>
      </c>
      <c r="I109" t="str">
        <f t="shared" si="3"/>
        <v>August-2025</v>
      </c>
      <c r="J109" t="str">
        <f t="shared" si="4"/>
        <v>Regular</v>
      </c>
      <c r="K109" t="str">
        <f t="shared" si="5"/>
        <v>Profit</v>
      </c>
    </row>
    <row r="110" spans="1:11" x14ac:dyDescent="0.35">
      <c r="A110" s="1">
        <v>45913</v>
      </c>
      <c r="B110" t="s">
        <v>30</v>
      </c>
      <c r="C110" t="s">
        <v>13</v>
      </c>
      <c r="D110" t="s">
        <v>14</v>
      </c>
      <c r="E110" t="s">
        <v>29</v>
      </c>
      <c r="F110">
        <v>219.64</v>
      </c>
      <c r="G110">
        <v>-17.23</v>
      </c>
      <c r="H110">
        <v>10</v>
      </c>
      <c r="I110" t="str">
        <f t="shared" si="3"/>
        <v>September-2025</v>
      </c>
      <c r="J110" t="str">
        <f t="shared" si="4"/>
        <v>Regular</v>
      </c>
      <c r="K110" t="str">
        <f t="shared" si="5"/>
        <v>Loss</v>
      </c>
    </row>
    <row r="111" spans="1:11" x14ac:dyDescent="0.35">
      <c r="A111" s="1">
        <v>45791</v>
      </c>
      <c r="B111" t="s">
        <v>8</v>
      </c>
      <c r="C111" t="s">
        <v>13</v>
      </c>
      <c r="D111" t="s">
        <v>14</v>
      </c>
      <c r="E111" t="s">
        <v>29</v>
      </c>
      <c r="F111">
        <v>4485.05</v>
      </c>
      <c r="G111">
        <v>122.75</v>
      </c>
      <c r="H111">
        <v>3</v>
      </c>
      <c r="I111" t="str">
        <f t="shared" si="3"/>
        <v>May-2025</v>
      </c>
      <c r="J111" t="str">
        <f t="shared" si="4"/>
        <v>Premium</v>
      </c>
      <c r="K111" t="str">
        <f t="shared" si="5"/>
        <v>Profit</v>
      </c>
    </row>
    <row r="112" spans="1:11" x14ac:dyDescent="0.35">
      <c r="A112" s="1">
        <v>46143</v>
      </c>
      <c r="B112" t="s">
        <v>31</v>
      </c>
      <c r="C112" t="s">
        <v>9</v>
      </c>
      <c r="D112" t="s">
        <v>14</v>
      </c>
      <c r="E112" t="s">
        <v>25</v>
      </c>
      <c r="F112">
        <v>2011.7</v>
      </c>
      <c r="G112">
        <v>493.21</v>
      </c>
      <c r="H112">
        <v>3</v>
      </c>
      <c r="I112" t="str">
        <f t="shared" si="3"/>
        <v>May-2026</v>
      </c>
      <c r="J112" t="str">
        <f t="shared" si="4"/>
        <v>Premium</v>
      </c>
      <c r="K112" t="str">
        <f t="shared" si="5"/>
        <v>Profit</v>
      </c>
    </row>
    <row r="113" spans="1:11" x14ac:dyDescent="0.35">
      <c r="A113" s="1">
        <v>45790</v>
      </c>
      <c r="B113" t="s">
        <v>18</v>
      </c>
      <c r="C113" t="s">
        <v>23</v>
      </c>
      <c r="D113" t="s">
        <v>10</v>
      </c>
      <c r="E113" t="s">
        <v>19</v>
      </c>
      <c r="F113">
        <v>4247.7299999999996</v>
      </c>
      <c r="G113">
        <v>814.19</v>
      </c>
      <c r="H113">
        <v>4</v>
      </c>
      <c r="I113" t="str">
        <f t="shared" si="3"/>
        <v>May-2025</v>
      </c>
      <c r="J113" t="str">
        <f t="shared" si="4"/>
        <v>Premium</v>
      </c>
      <c r="K113" t="str">
        <f t="shared" si="5"/>
        <v>Profit</v>
      </c>
    </row>
    <row r="114" spans="1:11" x14ac:dyDescent="0.35">
      <c r="A114" s="1">
        <v>46126</v>
      </c>
      <c r="B114" t="s">
        <v>31</v>
      </c>
      <c r="C114" t="s">
        <v>23</v>
      </c>
      <c r="D114" t="s">
        <v>21</v>
      </c>
      <c r="E114" t="s">
        <v>24</v>
      </c>
      <c r="F114">
        <v>1677.26</v>
      </c>
      <c r="G114">
        <v>372.21</v>
      </c>
      <c r="H114">
        <v>3</v>
      </c>
      <c r="I114" t="str">
        <f t="shared" si="3"/>
        <v>April-2026</v>
      </c>
      <c r="J114" t="str">
        <f t="shared" si="4"/>
        <v>Premium</v>
      </c>
      <c r="K114" t="str">
        <f t="shared" si="5"/>
        <v>Profit</v>
      </c>
    </row>
    <row r="115" spans="1:11" x14ac:dyDescent="0.35">
      <c r="A115" s="1">
        <v>45916</v>
      </c>
      <c r="B115" t="s">
        <v>8</v>
      </c>
      <c r="C115" t="s">
        <v>13</v>
      </c>
      <c r="D115" t="s">
        <v>14</v>
      </c>
      <c r="E115" t="s">
        <v>15</v>
      </c>
      <c r="F115">
        <v>1994.52</v>
      </c>
      <c r="G115">
        <v>416.97</v>
      </c>
      <c r="H115">
        <v>3</v>
      </c>
      <c r="I115" t="str">
        <f t="shared" si="3"/>
        <v>September-2025</v>
      </c>
      <c r="J115" t="str">
        <f t="shared" si="4"/>
        <v>Premium</v>
      </c>
      <c r="K115" t="str">
        <f t="shared" si="5"/>
        <v>Profit</v>
      </c>
    </row>
    <row r="116" spans="1:11" x14ac:dyDescent="0.35">
      <c r="A116" s="1">
        <v>45905</v>
      </c>
      <c r="B116" t="s">
        <v>31</v>
      </c>
      <c r="C116" t="s">
        <v>13</v>
      </c>
      <c r="D116" t="s">
        <v>21</v>
      </c>
      <c r="E116" t="s">
        <v>22</v>
      </c>
      <c r="F116">
        <v>2471.37</v>
      </c>
      <c r="G116">
        <v>50.49</v>
      </c>
      <c r="H116">
        <v>6</v>
      </c>
      <c r="I116" t="str">
        <f t="shared" si="3"/>
        <v>September-2025</v>
      </c>
      <c r="J116" t="str">
        <f t="shared" si="4"/>
        <v>Premium</v>
      </c>
      <c r="K116" t="str">
        <f t="shared" si="5"/>
        <v>Profit</v>
      </c>
    </row>
    <row r="117" spans="1:11" x14ac:dyDescent="0.35">
      <c r="A117" s="1">
        <v>45667</v>
      </c>
      <c r="B117" t="s">
        <v>8</v>
      </c>
      <c r="C117" t="s">
        <v>9</v>
      </c>
      <c r="D117" t="s">
        <v>21</v>
      </c>
      <c r="E117" t="s">
        <v>27</v>
      </c>
      <c r="F117">
        <v>4590.99</v>
      </c>
      <c r="G117">
        <v>-243.72</v>
      </c>
      <c r="H117">
        <v>10</v>
      </c>
      <c r="I117" t="str">
        <f t="shared" si="3"/>
        <v>January-2025</v>
      </c>
      <c r="J117" t="str">
        <f t="shared" si="4"/>
        <v>Premium</v>
      </c>
      <c r="K117" t="str">
        <f t="shared" si="5"/>
        <v>Loss</v>
      </c>
    </row>
    <row r="118" spans="1:11" x14ac:dyDescent="0.35">
      <c r="A118" s="1">
        <v>45968</v>
      </c>
      <c r="B118" t="s">
        <v>12</v>
      </c>
      <c r="C118" t="s">
        <v>9</v>
      </c>
      <c r="D118" t="s">
        <v>10</v>
      </c>
      <c r="E118" t="s">
        <v>19</v>
      </c>
      <c r="F118">
        <v>3241</v>
      </c>
      <c r="G118">
        <v>885.29</v>
      </c>
      <c r="H118">
        <v>3</v>
      </c>
      <c r="I118" t="str">
        <f t="shared" si="3"/>
        <v>November-2025</v>
      </c>
      <c r="J118" t="str">
        <f t="shared" si="4"/>
        <v>Premium</v>
      </c>
      <c r="K118" t="str">
        <f t="shared" si="5"/>
        <v>Profit</v>
      </c>
    </row>
    <row r="119" spans="1:11" x14ac:dyDescent="0.35">
      <c r="A119" s="1">
        <v>45775</v>
      </c>
      <c r="B119" t="s">
        <v>12</v>
      </c>
      <c r="C119" t="s">
        <v>23</v>
      </c>
      <c r="D119" t="s">
        <v>21</v>
      </c>
      <c r="E119" t="s">
        <v>22</v>
      </c>
      <c r="F119">
        <v>4184.3100000000004</v>
      </c>
      <c r="G119">
        <v>209.85</v>
      </c>
      <c r="H119">
        <v>4</v>
      </c>
      <c r="I119" t="str">
        <f t="shared" si="3"/>
        <v>April-2025</v>
      </c>
      <c r="J119" t="str">
        <f t="shared" si="4"/>
        <v>Premium</v>
      </c>
      <c r="K119" t="str">
        <f t="shared" si="5"/>
        <v>Profit</v>
      </c>
    </row>
    <row r="120" spans="1:11" x14ac:dyDescent="0.35">
      <c r="A120" s="1">
        <v>45806</v>
      </c>
      <c r="B120" t="s">
        <v>33</v>
      </c>
      <c r="C120" t="s">
        <v>23</v>
      </c>
      <c r="D120" t="s">
        <v>10</v>
      </c>
      <c r="E120" t="s">
        <v>32</v>
      </c>
      <c r="F120">
        <v>327.06</v>
      </c>
      <c r="G120">
        <v>26.82</v>
      </c>
      <c r="H120">
        <v>5</v>
      </c>
      <c r="I120" t="str">
        <f t="shared" si="3"/>
        <v>May-2025</v>
      </c>
      <c r="J120" t="str">
        <f t="shared" si="4"/>
        <v>Regular</v>
      </c>
      <c r="K120" t="str">
        <f t="shared" si="5"/>
        <v>Profit</v>
      </c>
    </row>
    <row r="121" spans="1:11" x14ac:dyDescent="0.35">
      <c r="A121" s="1">
        <v>45903</v>
      </c>
      <c r="B121" t="s">
        <v>8</v>
      </c>
      <c r="C121" t="s">
        <v>13</v>
      </c>
      <c r="D121" t="s">
        <v>14</v>
      </c>
      <c r="E121" t="s">
        <v>29</v>
      </c>
      <c r="F121">
        <v>762.96</v>
      </c>
      <c r="G121">
        <v>199.35</v>
      </c>
      <c r="H121">
        <v>3</v>
      </c>
      <c r="I121" t="str">
        <f t="shared" si="3"/>
        <v>September-2025</v>
      </c>
      <c r="J121" t="str">
        <f t="shared" si="4"/>
        <v>Regular</v>
      </c>
      <c r="K121" t="str">
        <f t="shared" si="5"/>
        <v>Profit</v>
      </c>
    </row>
    <row r="122" spans="1:11" x14ac:dyDescent="0.35">
      <c r="A122" s="1">
        <v>45999</v>
      </c>
      <c r="B122" t="s">
        <v>30</v>
      </c>
      <c r="C122" t="s">
        <v>17</v>
      </c>
      <c r="D122" t="s">
        <v>10</v>
      </c>
      <c r="E122" t="s">
        <v>19</v>
      </c>
      <c r="F122">
        <v>4087.74</v>
      </c>
      <c r="G122">
        <v>639.37</v>
      </c>
      <c r="H122">
        <v>2</v>
      </c>
      <c r="I122" t="str">
        <f t="shared" si="3"/>
        <v>December-2025</v>
      </c>
      <c r="J122" t="str">
        <f t="shared" si="4"/>
        <v>Premium</v>
      </c>
      <c r="K122" t="str">
        <f t="shared" si="5"/>
        <v>Profit</v>
      </c>
    </row>
    <row r="123" spans="1:11" x14ac:dyDescent="0.35">
      <c r="A123" s="1">
        <v>45977</v>
      </c>
      <c r="B123" t="s">
        <v>8</v>
      </c>
      <c r="C123" t="s">
        <v>23</v>
      </c>
      <c r="D123" t="s">
        <v>21</v>
      </c>
      <c r="E123" t="s">
        <v>27</v>
      </c>
      <c r="F123">
        <v>2226.9899999999998</v>
      </c>
      <c r="G123">
        <v>513.46</v>
      </c>
      <c r="H123">
        <v>6</v>
      </c>
      <c r="I123" t="str">
        <f t="shared" si="3"/>
        <v>November-2025</v>
      </c>
      <c r="J123" t="str">
        <f t="shared" si="4"/>
        <v>Premium</v>
      </c>
      <c r="K123" t="str">
        <f t="shared" si="5"/>
        <v>Profit</v>
      </c>
    </row>
    <row r="124" spans="1:11" x14ac:dyDescent="0.35">
      <c r="A124" s="1">
        <v>46042</v>
      </c>
      <c r="B124" t="s">
        <v>16</v>
      </c>
      <c r="C124" t="s">
        <v>13</v>
      </c>
      <c r="D124" t="s">
        <v>10</v>
      </c>
      <c r="E124" t="s">
        <v>11</v>
      </c>
      <c r="F124">
        <v>4921.3</v>
      </c>
      <c r="G124">
        <v>868.14</v>
      </c>
      <c r="H124">
        <v>9</v>
      </c>
      <c r="I124" t="str">
        <f t="shared" si="3"/>
        <v>January-2026</v>
      </c>
      <c r="J124" t="str">
        <f t="shared" si="4"/>
        <v>Premium</v>
      </c>
      <c r="K124" t="str">
        <f t="shared" si="5"/>
        <v>Profit</v>
      </c>
    </row>
    <row r="125" spans="1:11" x14ac:dyDescent="0.35">
      <c r="A125" s="1">
        <v>46017</v>
      </c>
      <c r="B125" t="s">
        <v>8</v>
      </c>
      <c r="C125" t="s">
        <v>17</v>
      </c>
      <c r="D125" t="s">
        <v>14</v>
      </c>
      <c r="E125" t="s">
        <v>29</v>
      </c>
      <c r="F125">
        <v>189.3</v>
      </c>
      <c r="G125">
        <v>-1.33</v>
      </c>
      <c r="H125">
        <v>6</v>
      </c>
      <c r="I125" t="str">
        <f t="shared" si="3"/>
        <v>December-2025</v>
      </c>
      <c r="J125" t="str">
        <f t="shared" si="4"/>
        <v>Regular</v>
      </c>
      <c r="K125" t="str">
        <f t="shared" si="5"/>
        <v>Loss</v>
      </c>
    </row>
    <row r="126" spans="1:11" x14ac:dyDescent="0.35">
      <c r="A126" s="1">
        <v>45888</v>
      </c>
      <c r="B126" t="s">
        <v>33</v>
      </c>
      <c r="C126" t="s">
        <v>13</v>
      </c>
      <c r="D126" t="s">
        <v>14</v>
      </c>
      <c r="E126" t="s">
        <v>15</v>
      </c>
      <c r="F126">
        <v>4966.0200000000004</v>
      </c>
      <c r="G126">
        <v>46.04</v>
      </c>
      <c r="H126">
        <v>8</v>
      </c>
      <c r="I126" t="str">
        <f t="shared" si="3"/>
        <v>August-2025</v>
      </c>
      <c r="J126" t="str">
        <f t="shared" si="4"/>
        <v>Premium</v>
      </c>
      <c r="K126" t="str">
        <f t="shared" si="5"/>
        <v>Profit</v>
      </c>
    </row>
    <row r="127" spans="1:11" x14ac:dyDescent="0.35">
      <c r="A127" s="1">
        <v>46077</v>
      </c>
      <c r="B127" t="s">
        <v>18</v>
      </c>
      <c r="C127" t="s">
        <v>13</v>
      </c>
      <c r="D127" t="s">
        <v>21</v>
      </c>
      <c r="E127" t="s">
        <v>27</v>
      </c>
      <c r="F127">
        <v>3463.96</v>
      </c>
      <c r="G127">
        <v>-12.24</v>
      </c>
      <c r="H127">
        <v>8</v>
      </c>
      <c r="I127" t="str">
        <f t="shared" si="3"/>
        <v>February-2026</v>
      </c>
      <c r="J127" t="str">
        <f t="shared" si="4"/>
        <v>Premium</v>
      </c>
      <c r="K127" t="str">
        <f t="shared" si="5"/>
        <v>Loss</v>
      </c>
    </row>
    <row r="128" spans="1:11" x14ac:dyDescent="0.35">
      <c r="A128" s="1">
        <v>46098</v>
      </c>
      <c r="B128" t="s">
        <v>16</v>
      </c>
      <c r="C128" t="s">
        <v>9</v>
      </c>
      <c r="D128" t="s">
        <v>10</v>
      </c>
      <c r="E128" t="s">
        <v>11</v>
      </c>
      <c r="F128">
        <v>550.17999999999995</v>
      </c>
      <c r="G128">
        <v>163.44</v>
      </c>
      <c r="H128">
        <v>7</v>
      </c>
      <c r="I128" t="str">
        <f t="shared" si="3"/>
        <v>March-2026</v>
      </c>
      <c r="J128" t="str">
        <f t="shared" si="4"/>
        <v>Regular</v>
      </c>
      <c r="K128" t="str">
        <f t="shared" si="5"/>
        <v>Profit</v>
      </c>
    </row>
    <row r="129" spans="1:11" x14ac:dyDescent="0.35">
      <c r="A129" s="1">
        <v>45816</v>
      </c>
      <c r="B129" t="s">
        <v>18</v>
      </c>
      <c r="C129" t="s">
        <v>17</v>
      </c>
      <c r="D129" t="s">
        <v>21</v>
      </c>
      <c r="E129" t="s">
        <v>22</v>
      </c>
      <c r="F129">
        <v>2456.09</v>
      </c>
      <c r="G129">
        <v>-78.56</v>
      </c>
      <c r="H129">
        <v>7</v>
      </c>
      <c r="I129" t="str">
        <f t="shared" si="3"/>
        <v>June-2025</v>
      </c>
      <c r="J129" t="str">
        <f t="shared" si="4"/>
        <v>Premium</v>
      </c>
      <c r="K129" t="str">
        <f t="shared" si="5"/>
        <v>Loss</v>
      </c>
    </row>
    <row r="130" spans="1:11" x14ac:dyDescent="0.35">
      <c r="A130" s="1">
        <v>45818</v>
      </c>
      <c r="B130" t="s">
        <v>28</v>
      </c>
      <c r="C130" t="s">
        <v>23</v>
      </c>
      <c r="D130" t="s">
        <v>14</v>
      </c>
      <c r="E130" t="s">
        <v>29</v>
      </c>
      <c r="F130">
        <v>1511.36</v>
      </c>
      <c r="G130">
        <v>53.82</v>
      </c>
      <c r="H130">
        <v>3</v>
      </c>
      <c r="I130" t="str">
        <f t="shared" si="3"/>
        <v>June-2025</v>
      </c>
      <c r="J130" t="str">
        <f t="shared" si="4"/>
        <v>Premium</v>
      </c>
      <c r="K130" t="str">
        <f t="shared" si="5"/>
        <v>Profit</v>
      </c>
    </row>
    <row r="131" spans="1:11" x14ac:dyDescent="0.35">
      <c r="A131" s="1">
        <v>45713</v>
      </c>
      <c r="B131" t="s">
        <v>12</v>
      </c>
      <c r="C131" t="s">
        <v>23</v>
      </c>
      <c r="D131" t="s">
        <v>14</v>
      </c>
      <c r="E131" t="s">
        <v>25</v>
      </c>
      <c r="F131">
        <v>4599.78</v>
      </c>
      <c r="G131">
        <v>771.39</v>
      </c>
      <c r="H131">
        <v>9</v>
      </c>
      <c r="I131" t="str">
        <f t="shared" ref="I131:I194" si="6">TEXT(A131,"mmmm-yyyy")</f>
        <v>February-2025</v>
      </c>
      <c r="J131" t="str">
        <f t="shared" ref="J131:J194" si="7">IF(F131&gt;1000,"Premium","Regular")</f>
        <v>Premium</v>
      </c>
      <c r="K131" t="str">
        <f t="shared" ref="K131:K194" si="8">IF(G131&gt;0,"Profit","Loss")</f>
        <v>Profit</v>
      </c>
    </row>
    <row r="132" spans="1:11" x14ac:dyDescent="0.35">
      <c r="A132" s="1">
        <v>45913</v>
      </c>
      <c r="B132" t="s">
        <v>30</v>
      </c>
      <c r="C132" t="s">
        <v>23</v>
      </c>
      <c r="D132" t="s">
        <v>21</v>
      </c>
      <c r="E132" t="s">
        <v>27</v>
      </c>
      <c r="F132">
        <v>4717.01</v>
      </c>
      <c r="G132">
        <v>-218.22</v>
      </c>
      <c r="H132">
        <v>3</v>
      </c>
      <c r="I132" t="str">
        <f t="shared" si="6"/>
        <v>September-2025</v>
      </c>
      <c r="J132" t="str">
        <f t="shared" si="7"/>
        <v>Premium</v>
      </c>
      <c r="K132" t="str">
        <f t="shared" si="8"/>
        <v>Loss</v>
      </c>
    </row>
    <row r="133" spans="1:11" x14ac:dyDescent="0.35">
      <c r="A133" s="1">
        <v>46149</v>
      </c>
      <c r="B133" t="s">
        <v>30</v>
      </c>
      <c r="C133" t="s">
        <v>9</v>
      </c>
      <c r="D133" t="s">
        <v>14</v>
      </c>
      <c r="E133" t="s">
        <v>29</v>
      </c>
      <c r="F133">
        <v>151.35</v>
      </c>
      <c r="G133">
        <v>27.29</v>
      </c>
      <c r="H133">
        <v>9</v>
      </c>
      <c r="I133" t="str">
        <f t="shared" si="6"/>
        <v>May-2026</v>
      </c>
      <c r="J133" t="str">
        <f t="shared" si="7"/>
        <v>Regular</v>
      </c>
      <c r="K133" t="str">
        <f t="shared" si="8"/>
        <v>Profit</v>
      </c>
    </row>
    <row r="134" spans="1:11" x14ac:dyDescent="0.35">
      <c r="A134" s="1">
        <v>45664</v>
      </c>
      <c r="B134" t="s">
        <v>12</v>
      </c>
      <c r="C134" t="s">
        <v>9</v>
      </c>
      <c r="D134" t="s">
        <v>10</v>
      </c>
      <c r="E134" t="s">
        <v>32</v>
      </c>
      <c r="F134">
        <v>4882.3500000000004</v>
      </c>
      <c r="G134">
        <v>1015.1</v>
      </c>
      <c r="H134">
        <v>4</v>
      </c>
      <c r="I134" t="str">
        <f t="shared" si="6"/>
        <v>January-2025</v>
      </c>
      <c r="J134" t="str">
        <f t="shared" si="7"/>
        <v>Premium</v>
      </c>
      <c r="K134" t="str">
        <f t="shared" si="8"/>
        <v>Profit</v>
      </c>
    </row>
    <row r="135" spans="1:11" x14ac:dyDescent="0.35">
      <c r="A135" s="1">
        <v>46030</v>
      </c>
      <c r="B135" t="s">
        <v>33</v>
      </c>
      <c r="C135" t="s">
        <v>9</v>
      </c>
      <c r="D135" t="s">
        <v>10</v>
      </c>
      <c r="E135" t="s">
        <v>19</v>
      </c>
      <c r="F135">
        <v>1842.94</v>
      </c>
      <c r="G135">
        <v>332.42</v>
      </c>
      <c r="H135">
        <v>10</v>
      </c>
      <c r="I135" t="str">
        <f t="shared" si="6"/>
        <v>January-2026</v>
      </c>
      <c r="J135" t="str">
        <f t="shared" si="7"/>
        <v>Premium</v>
      </c>
      <c r="K135" t="str">
        <f t="shared" si="8"/>
        <v>Profit</v>
      </c>
    </row>
    <row r="136" spans="1:11" x14ac:dyDescent="0.35">
      <c r="A136" s="1">
        <v>45769</v>
      </c>
      <c r="B136" t="s">
        <v>28</v>
      </c>
      <c r="C136" t="s">
        <v>9</v>
      </c>
      <c r="D136" t="s">
        <v>10</v>
      </c>
      <c r="E136" t="s">
        <v>19</v>
      </c>
      <c r="F136">
        <v>2026.33</v>
      </c>
      <c r="G136">
        <v>317.54000000000002</v>
      </c>
      <c r="H136">
        <v>5</v>
      </c>
      <c r="I136" t="str">
        <f t="shared" si="6"/>
        <v>April-2025</v>
      </c>
      <c r="J136" t="str">
        <f t="shared" si="7"/>
        <v>Premium</v>
      </c>
      <c r="K136" t="str">
        <f t="shared" si="8"/>
        <v>Profit</v>
      </c>
    </row>
    <row r="137" spans="1:11" x14ac:dyDescent="0.35">
      <c r="A137" s="1">
        <v>45696</v>
      </c>
      <c r="B137" t="s">
        <v>28</v>
      </c>
      <c r="C137" t="s">
        <v>9</v>
      </c>
      <c r="D137" t="s">
        <v>21</v>
      </c>
      <c r="E137" t="s">
        <v>27</v>
      </c>
      <c r="F137">
        <v>326.83</v>
      </c>
      <c r="G137">
        <v>30.7</v>
      </c>
      <c r="H137">
        <v>2</v>
      </c>
      <c r="I137" t="str">
        <f t="shared" si="6"/>
        <v>February-2025</v>
      </c>
      <c r="J137" t="str">
        <f t="shared" si="7"/>
        <v>Regular</v>
      </c>
      <c r="K137" t="str">
        <f t="shared" si="8"/>
        <v>Profit</v>
      </c>
    </row>
    <row r="138" spans="1:11" x14ac:dyDescent="0.35">
      <c r="A138" s="1">
        <v>45908</v>
      </c>
      <c r="B138" t="s">
        <v>28</v>
      </c>
      <c r="C138" t="s">
        <v>9</v>
      </c>
      <c r="D138" t="s">
        <v>21</v>
      </c>
      <c r="E138" t="s">
        <v>27</v>
      </c>
      <c r="F138">
        <v>1888.24</v>
      </c>
      <c r="G138">
        <v>-140.81</v>
      </c>
      <c r="H138">
        <v>4</v>
      </c>
      <c r="I138" t="str">
        <f t="shared" si="6"/>
        <v>September-2025</v>
      </c>
      <c r="J138" t="str">
        <f t="shared" si="7"/>
        <v>Premium</v>
      </c>
      <c r="K138" t="str">
        <f t="shared" si="8"/>
        <v>Loss</v>
      </c>
    </row>
    <row r="139" spans="1:11" x14ac:dyDescent="0.35">
      <c r="A139" s="1">
        <v>45939</v>
      </c>
      <c r="B139" t="s">
        <v>30</v>
      </c>
      <c r="C139" t="s">
        <v>23</v>
      </c>
      <c r="D139" t="s">
        <v>21</v>
      </c>
      <c r="E139" t="s">
        <v>27</v>
      </c>
      <c r="F139">
        <v>4000.02</v>
      </c>
      <c r="G139">
        <v>153.51</v>
      </c>
      <c r="H139">
        <v>9</v>
      </c>
      <c r="I139" t="str">
        <f t="shared" si="6"/>
        <v>October-2025</v>
      </c>
      <c r="J139" t="str">
        <f t="shared" si="7"/>
        <v>Premium</v>
      </c>
      <c r="K139" t="str">
        <f t="shared" si="8"/>
        <v>Profit</v>
      </c>
    </row>
    <row r="140" spans="1:11" x14ac:dyDescent="0.35">
      <c r="A140" s="1">
        <v>46125</v>
      </c>
      <c r="B140" t="s">
        <v>18</v>
      </c>
      <c r="C140" t="s">
        <v>23</v>
      </c>
      <c r="D140" t="s">
        <v>10</v>
      </c>
      <c r="E140" t="s">
        <v>11</v>
      </c>
      <c r="F140">
        <v>1864.86</v>
      </c>
      <c r="G140">
        <v>-148.19</v>
      </c>
      <c r="H140">
        <v>7</v>
      </c>
      <c r="I140" t="str">
        <f t="shared" si="6"/>
        <v>April-2026</v>
      </c>
      <c r="J140" t="str">
        <f t="shared" si="7"/>
        <v>Premium</v>
      </c>
      <c r="K140" t="str">
        <f t="shared" si="8"/>
        <v>Loss</v>
      </c>
    </row>
    <row r="141" spans="1:11" x14ac:dyDescent="0.35">
      <c r="A141" s="1">
        <v>46066</v>
      </c>
      <c r="B141" t="s">
        <v>26</v>
      </c>
      <c r="C141" t="s">
        <v>9</v>
      </c>
      <c r="D141" t="s">
        <v>14</v>
      </c>
      <c r="E141" t="s">
        <v>29</v>
      </c>
      <c r="F141">
        <v>4594.83</v>
      </c>
      <c r="G141">
        <v>604.32000000000005</v>
      </c>
      <c r="H141">
        <v>5</v>
      </c>
      <c r="I141" t="str">
        <f t="shared" si="6"/>
        <v>February-2026</v>
      </c>
      <c r="J141" t="str">
        <f t="shared" si="7"/>
        <v>Premium</v>
      </c>
      <c r="K141" t="str">
        <f t="shared" si="8"/>
        <v>Profit</v>
      </c>
    </row>
    <row r="142" spans="1:11" x14ac:dyDescent="0.35">
      <c r="A142" s="1">
        <v>45810</v>
      </c>
      <c r="B142" t="s">
        <v>30</v>
      </c>
      <c r="C142" t="s">
        <v>23</v>
      </c>
      <c r="D142" t="s">
        <v>10</v>
      </c>
      <c r="E142" t="s">
        <v>32</v>
      </c>
      <c r="F142">
        <v>4851</v>
      </c>
      <c r="G142">
        <v>-172.66</v>
      </c>
      <c r="H142">
        <v>4</v>
      </c>
      <c r="I142" t="str">
        <f t="shared" si="6"/>
        <v>June-2025</v>
      </c>
      <c r="J142" t="str">
        <f t="shared" si="7"/>
        <v>Premium</v>
      </c>
      <c r="K142" t="str">
        <f t="shared" si="8"/>
        <v>Loss</v>
      </c>
    </row>
    <row r="143" spans="1:11" x14ac:dyDescent="0.35">
      <c r="A143" s="1">
        <v>45964</v>
      </c>
      <c r="B143" t="s">
        <v>20</v>
      </c>
      <c r="C143" t="s">
        <v>17</v>
      </c>
      <c r="D143" t="s">
        <v>21</v>
      </c>
      <c r="E143" t="s">
        <v>22</v>
      </c>
      <c r="F143">
        <v>1943.7</v>
      </c>
      <c r="G143">
        <v>-22.02</v>
      </c>
      <c r="H143">
        <v>4</v>
      </c>
      <c r="I143" t="str">
        <f t="shared" si="6"/>
        <v>November-2025</v>
      </c>
      <c r="J143" t="str">
        <f t="shared" si="7"/>
        <v>Premium</v>
      </c>
      <c r="K143" t="str">
        <f t="shared" si="8"/>
        <v>Loss</v>
      </c>
    </row>
    <row r="144" spans="1:11" x14ac:dyDescent="0.35">
      <c r="A144" s="1">
        <v>45684</v>
      </c>
      <c r="B144" t="s">
        <v>12</v>
      </c>
      <c r="C144" t="s">
        <v>17</v>
      </c>
      <c r="D144" t="s">
        <v>21</v>
      </c>
      <c r="E144" t="s">
        <v>24</v>
      </c>
      <c r="F144">
        <v>2083.77</v>
      </c>
      <c r="G144">
        <v>444.04</v>
      </c>
      <c r="H144">
        <v>5</v>
      </c>
      <c r="I144" t="str">
        <f t="shared" si="6"/>
        <v>January-2025</v>
      </c>
      <c r="J144" t="str">
        <f t="shared" si="7"/>
        <v>Premium</v>
      </c>
      <c r="K144" t="str">
        <f t="shared" si="8"/>
        <v>Profit</v>
      </c>
    </row>
    <row r="145" spans="1:11" x14ac:dyDescent="0.35">
      <c r="A145" s="1">
        <v>45726</v>
      </c>
      <c r="B145" t="s">
        <v>31</v>
      </c>
      <c r="C145" t="s">
        <v>17</v>
      </c>
      <c r="D145" t="s">
        <v>21</v>
      </c>
      <c r="E145" t="s">
        <v>27</v>
      </c>
      <c r="F145">
        <v>4483.08</v>
      </c>
      <c r="G145">
        <v>303.29000000000002</v>
      </c>
      <c r="H145">
        <v>4</v>
      </c>
      <c r="I145" t="str">
        <f t="shared" si="6"/>
        <v>March-2025</v>
      </c>
      <c r="J145" t="str">
        <f t="shared" si="7"/>
        <v>Premium</v>
      </c>
      <c r="K145" t="str">
        <f t="shared" si="8"/>
        <v>Profit</v>
      </c>
    </row>
    <row r="146" spans="1:11" x14ac:dyDescent="0.35">
      <c r="A146" s="1">
        <v>45866</v>
      </c>
      <c r="B146" t="s">
        <v>26</v>
      </c>
      <c r="C146" t="s">
        <v>13</v>
      </c>
      <c r="D146" t="s">
        <v>14</v>
      </c>
      <c r="E146" t="s">
        <v>25</v>
      </c>
      <c r="F146">
        <v>3465.74</v>
      </c>
      <c r="G146">
        <v>30.44</v>
      </c>
      <c r="H146">
        <v>1</v>
      </c>
      <c r="I146" t="str">
        <f t="shared" si="6"/>
        <v>July-2025</v>
      </c>
      <c r="J146" t="str">
        <f t="shared" si="7"/>
        <v>Premium</v>
      </c>
      <c r="K146" t="str">
        <f t="shared" si="8"/>
        <v>Profit</v>
      </c>
    </row>
    <row r="147" spans="1:11" x14ac:dyDescent="0.35">
      <c r="A147" s="1">
        <v>46158</v>
      </c>
      <c r="B147" t="s">
        <v>8</v>
      </c>
      <c r="C147" t="s">
        <v>9</v>
      </c>
      <c r="D147" t="s">
        <v>21</v>
      </c>
      <c r="E147" t="s">
        <v>24</v>
      </c>
      <c r="F147">
        <v>3374.03</v>
      </c>
      <c r="G147">
        <v>675.74</v>
      </c>
      <c r="H147">
        <v>3</v>
      </c>
      <c r="I147" t="str">
        <f t="shared" si="6"/>
        <v>May-2026</v>
      </c>
      <c r="J147" t="str">
        <f t="shared" si="7"/>
        <v>Premium</v>
      </c>
      <c r="K147" t="str">
        <f t="shared" si="8"/>
        <v>Profit</v>
      </c>
    </row>
    <row r="148" spans="1:11" x14ac:dyDescent="0.35">
      <c r="A148" s="1">
        <v>45911</v>
      </c>
      <c r="B148" t="s">
        <v>28</v>
      </c>
      <c r="C148" t="s">
        <v>17</v>
      </c>
      <c r="D148" t="s">
        <v>14</v>
      </c>
      <c r="E148" t="s">
        <v>25</v>
      </c>
      <c r="F148">
        <v>2522.41</v>
      </c>
      <c r="G148">
        <v>525.11</v>
      </c>
      <c r="H148">
        <v>6</v>
      </c>
      <c r="I148" t="str">
        <f t="shared" si="6"/>
        <v>September-2025</v>
      </c>
      <c r="J148" t="str">
        <f t="shared" si="7"/>
        <v>Premium</v>
      </c>
      <c r="K148" t="str">
        <f t="shared" si="8"/>
        <v>Profit</v>
      </c>
    </row>
    <row r="149" spans="1:11" x14ac:dyDescent="0.35">
      <c r="A149" s="1">
        <v>45876</v>
      </c>
      <c r="B149" t="s">
        <v>18</v>
      </c>
      <c r="C149" t="s">
        <v>13</v>
      </c>
      <c r="D149" t="s">
        <v>10</v>
      </c>
      <c r="E149" t="s">
        <v>32</v>
      </c>
      <c r="F149">
        <v>910.7</v>
      </c>
      <c r="G149">
        <v>59.35</v>
      </c>
      <c r="H149">
        <v>3</v>
      </c>
      <c r="I149" t="str">
        <f t="shared" si="6"/>
        <v>August-2025</v>
      </c>
      <c r="J149" t="str">
        <f t="shared" si="7"/>
        <v>Regular</v>
      </c>
      <c r="K149" t="str">
        <f t="shared" si="8"/>
        <v>Profit</v>
      </c>
    </row>
    <row r="150" spans="1:11" x14ac:dyDescent="0.35">
      <c r="A150" s="1">
        <v>45850</v>
      </c>
      <c r="B150" t="s">
        <v>12</v>
      </c>
      <c r="C150" t="s">
        <v>23</v>
      </c>
      <c r="D150" t="s">
        <v>14</v>
      </c>
      <c r="E150" t="s">
        <v>15</v>
      </c>
      <c r="F150">
        <v>1983.84</v>
      </c>
      <c r="G150">
        <v>306.86</v>
      </c>
      <c r="H150">
        <v>1</v>
      </c>
      <c r="I150" t="str">
        <f t="shared" si="6"/>
        <v>July-2025</v>
      </c>
      <c r="J150" t="str">
        <f t="shared" si="7"/>
        <v>Premium</v>
      </c>
      <c r="K150" t="str">
        <f t="shared" si="8"/>
        <v>Profit</v>
      </c>
    </row>
    <row r="151" spans="1:11" x14ac:dyDescent="0.35">
      <c r="A151" s="1">
        <v>46035</v>
      </c>
      <c r="B151" t="s">
        <v>12</v>
      </c>
      <c r="C151" t="s">
        <v>23</v>
      </c>
      <c r="D151" t="s">
        <v>21</v>
      </c>
      <c r="E151" t="s">
        <v>27</v>
      </c>
      <c r="F151">
        <v>299.70999999999998</v>
      </c>
      <c r="G151">
        <v>17.329999999999998</v>
      </c>
      <c r="H151">
        <v>8</v>
      </c>
      <c r="I151" t="str">
        <f t="shared" si="6"/>
        <v>January-2026</v>
      </c>
      <c r="J151" t="str">
        <f t="shared" si="7"/>
        <v>Regular</v>
      </c>
      <c r="K151" t="str">
        <f t="shared" si="8"/>
        <v>Profit</v>
      </c>
    </row>
    <row r="152" spans="1:11" x14ac:dyDescent="0.35">
      <c r="A152" s="1">
        <v>46062</v>
      </c>
      <c r="B152" t="s">
        <v>8</v>
      </c>
      <c r="C152" t="s">
        <v>17</v>
      </c>
      <c r="D152" t="s">
        <v>10</v>
      </c>
      <c r="E152" t="s">
        <v>11</v>
      </c>
      <c r="F152">
        <v>4424.16</v>
      </c>
      <c r="G152">
        <v>-403.12</v>
      </c>
      <c r="H152">
        <v>4</v>
      </c>
      <c r="I152" t="str">
        <f t="shared" si="6"/>
        <v>February-2026</v>
      </c>
      <c r="J152" t="str">
        <f t="shared" si="7"/>
        <v>Premium</v>
      </c>
      <c r="K152" t="str">
        <f t="shared" si="8"/>
        <v>Loss</v>
      </c>
    </row>
    <row r="153" spans="1:11" x14ac:dyDescent="0.35">
      <c r="A153" s="1">
        <v>45853</v>
      </c>
      <c r="B153" t="s">
        <v>31</v>
      </c>
      <c r="C153" t="s">
        <v>17</v>
      </c>
      <c r="D153" t="s">
        <v>10</v>
      </c>
      <c r="E153" t="s">
        <v>32</v>
      </c>
      <c r="F153">
        <v>193.88</v>
      </c>
      <c r="G153">
        <v>18.66</v>
      </c>
      <c r="H153">
        <v>10</v>
      </c>
      <c r="I153" t="str">
        <f t="shared" si="6"/>
        <v>July-2025</v>
      </c>
      <c r="J153" t="str">
        <f t="shared" si="7"/>
        <v>Regular</v>
      </c>
      <c r="K153" t="str">
        <f t="shared" si="8"/>
        <v>Profit</v>
      </c>
    </row>
    <row r="154" spans="1:11" x14ac:dyDescent="0.35">
      <c r="A154" s="1">
        <v>46124</v>
      </c>
      <c r="B154" t="s">
        <v>26</v>
      </c>
      <c r="C154" t="s">
        <v>23</v>
      </c>
      <c r="D154" t="s">
        <v>14</v>
      </c>
      <c r="E154" t="s">
        <v>29</v>
      </c>
      <c r="F154">
        <v>4736.8500000000004</v>
      </c>
      <c r="G154">
        <v>-365.82</v>
      </c>
      <c r="H154">
        <v>5</v>
      </c>
      <c r="I154" t="str">
        <f t="shared" si="6"/>
        <v>April-2026</v>
      </c>
      <c r="J154" t="str">
        <f t="shared" si="7"/>
        <v>Premium</v>
      </c>
      <c r="K154" t="str">
        <f t="shared" si="8"/>
        <v>Loss</v>
      </c>
    </row>
    <row r="155" spans="1:11" x14ac:dyDescent="0.35">
      <c r="A155" s="1">
        <v>46126</v>
      </c>
      <c r="B155" t="s">
        <v>31</v>
      </c>
      <c r="C155" t="s">
        <v>13</v>
      </c>
      <c r="D155" t="s">
        <v>14</v>
      </c>
      <c r="E155" t="s">
        <v>29</v>
      </c>
      <c r="F155">
        <v>3028.77</v>
      </c>
      <c r="G155">
        <v>604.67999999999995</v>
      </c>
      <c r="H155">
        <v>1</v>
      </c>
      <c r="I155" t="str">
        <f t="shared" si="6"/>
        <v>April-2026</v>
      </c>
      <c r="J155" t="str">
        <f t="shared" si="7"/>
        <v>Premium</v>
      </c>
      <c r="K155" t="str">
        <f t="shared" si="8"/>
        <v>Profit</v>
      </c>
    </row>
    <row r="156" spans="1:11" x14ac:dyDescent="0.35">
      <c r="A156" s="1">
        <v>45749</v>
      </c>
      <c r="B156" t="s">
        <v>18</v>
      </c>
      <c r="C156" t="s">
        <v>23</v>
      </c>
      <c r="D156" t="s">
        <v>10</v>
      </c>
      <c r="E156" t="s">
        <v>11</v>
      </c>
      <c r="F156">
        <v>4906.57</v>
      </c>
      <c r="G156">
        <v>665.88</v>
      </c>
      <c r="H156">
        <v>3</v>
      </c>
      <c r="I156" t="str">
        <f t="shared" si="6"/>
        <v>April-2025</v>
      </c>
      <c r="J156" t="str">
        <f t="shared" si="7"/>
        <v>Premium</v>
      </c>
      <c r="K156" t="str">
        <f t="shared" si="8"/>
        <v>Profit</v>
      </c>
    </row>
    <row r="157" spans="1:11" x14ac:dyDescent="0.35">
      <c r="A157" s="1">
        <v>45982</v>
      </c>
      <c r="B157" t="s">
        <v>12</v>
      </c>
      <c r="C157" t="s">
        <v>17</v>
      </c>
      <c r="D157" t="s">
        <v>21</v>
      </c>
      <c r="E157" t="s">
        <v>27</v>
      </c>
      <c r="F157">
        <v>4466.96</v>
      </c>
      <c r="G157">
        <v>-229.73</v>
      </c>
      <c r="H157">
        <v>10</v>
      </c>
      <c r="I157" t="str">
        <f t="shared" si="6"/>
        <v>November-2025</v>
      </c>
      <c r="J157" t="str">
        <f t="shared" si="7"/>
        <v>Premium</v>
      </c>
      <c r="K157" t="str">
        <f t="shared" si="8"/>
        <v>Loss</v>
      </c>
    </row>
    <row r="158" spans="1:11" x14ac:dyDescent="0.35">
      <c r="A158" s="1">
        <v>46059</v>
      </c>
      <c r="B158" t="s">
        <v>8</v>
      </c>
      <c r="C158" t="s">
        <v>13</v>
      </c>
      <c r="D158" t="s">
        <v>14</v>
      </c>
      <c r="E158" t="s">
        <v>15</v>
      </c>
      <c r="F158">
        <v>3854.09</v>
      </c>
      <c r="G158">
        <v>628.80999999999995</v>
      </c>
      <c r="H158">
        <v>6</v>
      </c>
      <c r="I158" t="str">
        <f t="shared" si="6"/>
        <v>February-2026</v>
      </c>
      <c r="J158" t="str">
        <f t="shared" si="7"/>
        <v>Premium</v>
      </c>
      <c r="K158" t="str">
        <f t="shared" si="8"/>
        <v>Profit</v>
      </c>
    </row>
    <row r="159" spans="1:11" x14ac:dyDescent="0.35">
      <c r="A159" s="1">
        <v>45731</v>
      </c>
      <c r="B159" t="s">
        <v>16</v>
      </c>
      <c r="C159" t="s">
        <v>17</v>
      </c>
      <c r="D159" t="s">
        <v>21</v>
      </c>
      <c r="E159" t="s">
        <v>27</v>
      </c>
      <c r="F159">
        <v>2935.92</v>
      </c>
      <c r="G159">
        <v>-214.44</v>
      </c>
      <c r="H159">
        <v>3</v>
      </c>
      <c r="I159" t="str">
        <f t="shared" si="6"/>
        <v>March-2025</v>
      </c>
      <c r="J159" t="str">
        <f t="shared" si="7"/>
        <v>Premium</v>
      </c>
      <c r="K159" t="str">
        <f t="shared" si="8"/>
        <v>Loss</v>
      </c>
    </row>
    <row r="160" spans="1:11" x14ac:dyDescent="0.35">
      <c r="A160" s="1">
        <v>45816</v>
      </c>
      <c r="B160" t="s">
        <v>31</v>
      </c>
      <c r="C160" t="s">
        <v>23</v>
      </c>
      <c r="D160" t="s">
        <v>14</v>
      </c>
      <c r="E160" t="s">
        <v>29</v>
      </c>
      <c r="F160">
        <v>1184.6199999999999</v>
      </c>
      <c r="G160">
        <v>67.900000000000006</v>
      </c>
      <c r="H160">
        <v>1</v>
      </c>
      <c r="I160" t="str">
        <f t="shared" si="6"/>
        <v>June-2025</v>
      </c>
      <c r="J160" t="str">
        <f t="shared" si="7"/>
        <v>Premium</v>
      </c>
      <c r="K160" t="str">
        <f t="shared" si="8"/>
        <v>Profit</v>
      </c>
    </row>
    <row r="161" spans="1:11" x14ac:dyDescent="0.35">
      <c r="A161" s="1">
        <v>46020</v>
      </c>
      <c r="B161" t="s">
        <v>16</v>
      </c>
      <c r="C161" t="s">
        <v>13</v>
      </c>
      <c r="D161" t="s">
        <v>14</v>
      </c>
      <c r="E161" t="s">
        <v>25</v>
      </c>
      <c r="F161">
        <v>3068.21</v>
      </c>
      <c r="G161">
        <v>20.54</v>
      </c>
      <c r="H161">
        <v>4</v>
      </c>
      <c r="I161" t="str">
        <f t="shared" si="6"/>
        <v>December-2025</v>
      </c>
      <c r="J161" t="str">
        <f t="shared" si="7"/>
        <v>Premium</v>
      </c>
      <c r="K161" t="str">
        <f t="shared" si="8"/>
        <v>Profit</v>
      </c>
    </row>
    <row r="162" spans="1:11" x14ac:dyDescent="0.35">
      <c r="A162" s="1">
        <v>45859</v>
      </c>
      <c r="B162" t="s">
        <v>30</v>
      </c>
      <c r="C162" t="s">
        <v>23</v>
      </c>
      <c r="D162" t="s">
        <v>14</v>
      </c>
      <c r="E162" t="s">
        <v>15</v>
      </c>
      <c r="F162">
        <v>3421.66</v>
      </c>
      <c r="G162">
        <v>273.36</v>
      </c>
      <c r="H162">
        <v>10</v>
      </c>
      <c r="I162" t="str">
        <f t="shared" si="6"/>
        <v>July-2025</v>
      </c>
      <c r="J162" t="str">
        <f t="shared" si="7"/>
        <v>Premium</v>
      </c>
      <c r="K162" t="str">
        <f t="shared" si="8"/>
        <v>Profit</v>
      </c>
    </row>
    <row r="163" spans="1:11" x14ac:dyDescent="0.35">
      <c r="A163" s="1">
        <v>45769</v>
      </c>
      <c r="B163" t="s">
        <v>26</v>
      </c>
      <c r="C163" t="s">
        <v>23</v>
      </c>
      <c r="D163" t="s">
        <v>10</v>
      </c>
      <c r="E163" t="s">
        <v>11</v>
      </c>
      <c r="F163">
        <v>4247.55</v>
      </c>
      <c r="G163">
        <v>73.260000000000005</v>
      </c>
      <c r="H163">
        <v>6</v>
      </c>
      <c r="I163" t="str">
        <f t="shared" si="6"/>
        <v>April-2025</v>
      </c>
      <c r="J163" t="str">
        <f t="shared" si="7"/>
        <v>Premium</v>
      </c>
      <c r="K163" t="str">
        <f t="shared" si="8"/>
        <v>Profit</v>
      </c>
    </row>
    <row r="164" spans="1:11" x14ac:dyDescent="0.35">
      <c r="A164" s="1">
        <v>46145</v>
      </c>
      <c r="B164" t="s">
        <v>30</v>
      </c>
      <c r="C164" t="s">
        <v>13</v>
      </c>
      <c r="D164" t="s">
        <v>21</v>
      </c>
      <c r="E164" t="s">
        <v>24</v>
      </c>
      <c r="F164">
        <v>1366.54</v>
      </c>
      <c r="G164">
        <v>193.14</v>
      </c>
      <c r="H164">
        <v>5</v>
      </c>
      <c r="I164" t="str">
        <f t="shared" si="6"/>
        <v>May-2026</v>
      </c>
      <c r="J164" t="str">
        <f t="shared" si="7"/>
        <v>Premium</v>
      </c>
      <c r="K164" t="str">
        <f t="shared" si="8"/>
        <v>Profit</v>
      </c>
    </row>
    <row r="165" spans="1:11" x14ac:dyDescent="0.35">
      <c r="A165" s="1">
        <v>45935</v>
      </c>
      <c r="B165" t="s">
        <v>26</v>
      </c>
      <c r="C165" t="s">
        <v>9</v>
      </c>
      <c r="D165" t="s">
        <v>21</v>
      </c>
      <c r="E165" t="s">
        <v>22</v>
      </c>
      <c r="F165">
        <v>3138.27</v>
      </c>
      <c r="G165">
        <v>-175.72</v>
      </c>
      <c r="H165">
        <v>7</v>
      </c>
      <c r="I165" t="str">
        <f t="shared" si="6"/>
        <v>October-2025</v>
      </c>
      <c r="J165" t="str">
        <f t="shared" si="7"/>
        <v>Premium</v>
      </c>
      <c r="K165" t="str">
        <f t="shared" si="8"/>
        <v>Loss</v>
      </c>
    </row>
    <row r="166" spans="1:11" x14ac:dyDescent="0.35">
      <c r="A166" s="1">
        <v>45665</v>
      </c>
      <c r="B166" t="s">
        <v>26</v>
      </c>
      <c r="C166" t="s">
        <v>23</v>
      </c>
      <c r="D166" t="s">
        <v>14</v>
      </c>
      <c r="E166" t="s">
        <v>25</v>
      </c>
      <c r="F166">
        <v>3074.62</v>
      </c>
      <c r="G166">
        <v>243.53</v>
      </c>
      <c r="H166">
        <v>10</v>
      </c>
      <c r="I166" t="str">
        <f t="shared" si="6"/>
        <v>January-2025</v>
      </c>
      <c r="J166" t="str">
        <f t="shared" si="7"/>
        <v>Premium</v>
      </c>
      <c r="K166" t="str">
        <f t="shared" si="8"/>
        <v>Profit</v>
      </c>
    </row>
    <row r="167" spans="1:11" x14ac:dyDescent="0.35">
      <c r="A167" s="1">
        <v>45763</v>
      </c>
      <c r="B167" t="s">
        <v>20</v>
      </c>
      <c r="C167" t="s">
        <v>9</v>
      </c>
      <c r="D167" t="s">
        <v>14</v>
      </c>
      <c r="E167" t="s">
        <v>15</v>
      </c>
      <c r="F167">
        <v>4228.99</v>
      </c>
      <c r="G167">
        <v>-117.79</v>
      </c>
      <c r="H167">
        <v>2</v>
      </c>
      <c r="I167" t="str">
        <f t="shared" si="6"/>
        <v>April-2025</v>
      </c>
      <c r="J167" t="str">
        <f t="shared" si="7"/>
        <v>Premium</v>
      </c>
      <c r="K167" t="str">
        <f t="shared" si="8"/>
        <v>Loss</v>
      </c>
    </row>
    <row r="168" spans="1:11" x14ac:dyDescent="0.35">
      <c r="A168" s="1">
        <v>45898</v>
      </c>
      <c r="B168" t="s">
        <v>12</v>
      </c>
      <c r="C168" t="s">
        <v>23</v>
      </c>
      <c r="D168" t="s">
        <v>14</v>
      </c>
      <c r="E168" t="s">
        <v>29</v>
      </c>
      <c r="F168">
        <v>1214.3699999999999</v>
      </c>
      <c r="G168">
        <v>-12.45</v>
      </c>
      <c r="H168">
        <v>10</v>
      </c>
      <c r="I168" t="str">
        <f t="shared" si="6"/>
        <v>August-2025</v>
      </c>
      <c r="J168" t="str">
        <f t="shared" si="7"/>
        <v>Premium</v>
      </c>
      <c r="K168" t="str">
        <f t="shared" si="8"/>
        <v>Loss</v>
      </c>
    </row>
    <row r="169" spans="1:11" x14ac:dyDescent="0.35">
      <c r="A169" s="1">
        <v>46100</v>
      </c>
      <c r="B169" t="s">
        <v>8</v>
      </c>
      <c r="C169" t="s">
        <v>9</v>
      </c>
      <c r="D169" t="s">
        <v>10</v>
      </c>
      <c r="E169" t="s">
        <v>19</v>
      </c>
      <c r="F169">
        <v>422.15</v>
      </c>
      <c r="G169">
        <v>54.59</v>
      </c>
      <c r="H169">
        <v>4</v>
      </c>
      <c r="I169" t="str">
        <f t="shared" si="6"/>
        <v>March-2026</v>
      </c>
      <c r="J169" t="str">
        <f t="shared" si="7"/>
        <v>Regular</v>
      </c>
      <c r="K169" t="str">
        <f t="shared" si="8"/>
        <v>Profit</v>
      </c>
    </row>
    <row r="170" spans="1:11" x14ac:dyDescent="0.35">
      <c r="A170" s="1">
        <v>46019</v>
      </c>
      <c r="B170" t="s">
        <v>26</v>
      </c>
      <c r="C170" t="s">
        <v>13</v>
      </c>
      <c r="D170" t="s">
        <v>14</v>
      </c>
      <c r="E170" t="s">
        <v>15</v>
      </c>
      <c r="F170">
        <v>253.4</v>
      </c>
      <c r="G170">
        <v>68.97</v>
      </c>
      <c r="H170">
        <v>7</v>
      </c>
      <c r="I170" t="str">
        <f t="shared" si="6"/>
        <v>December-2025</v>
      </c>
      <c r="J170" t="str">
        <f t="shared" si="7"/>
        <v>Regular</v>
      </c>
      <c r="K170" t="str">
        <f t="shared" si="8"/>
        <v>Profit</v>
      </c>
    </row>
    <row r="171" spans="1:11" x14ac:dyDescent="0.35">
      <c r="A171" s="1">
        <v>45976</v>
      </c>
      <c r="B171" t="s">
        <v>31</v>
      </c>
      <c r="C171" t="s">
        <v>17</v>
      </c>
      <c r="D171" t="s">
        <v>10</v>
      </c>
      <c r="E171" t="s">
        <v>32</v>
      </c>
      <c r="F171">
        <v>4799.8500000000004</v>
      </c>
      <c r="G171">
        <v>-108.54</v>
      </c>
      <c r="H171">
        <v>6</v>
      </c>
      <c r="I171" t="str">
        <f t="shared" si="6"/>
        <v>November-2025</v>
      </c>
      <c r="J171" t="str">
        <f t="shared" si="7"/>
        <v>Premium</v>
      </c>
      <c r="K171" t="str">
        <f t="shared" si="8"/>
        <v>Loss</v>
      </c>
    </row>
    <row r="172" spans="1:11" x14ac:dyDescent="0.35">
      <c r="A172" s="1">
        <v>45833</v>
      </c>
      <c r="B172" t="s">
        <v>18</v>
      </c>
      <c r="C172" t="s">
        <v>13</v>
      </c>
      <c r="D172" t="s">
        <v>21</v>
      </c>
      <c r="E172" t="s">
        <v>27</v>
      </c>
      <c r="F172">
        <v>1698.05</v>
      </c>
      <c r="G172">
        <v>278.35000000000002</v>
      </c>
      <c r="H172">
        <v>2</v>
      </c>
      <c r="I172" t="str">
        <f t="shared" si="6"/>
        <v>June-2025</v>
      </c>
      <c r="J172" t="str">
        <f t="shared" si="7"/>
        <v>Premium</v>
      </c>
      <c r="K172" t="str">
        <f t="shared" si="8"/>
        <v>Profit</v>
      </c>
    </row>
    <row r="173" spans="1:11" x14ac:dyDescent="0.35">
      <c r="A173" s="1">
        <v>45903</v>
      </c>
      <c r="B173" t="s">
        <v>26</v>
      </c>
      <c r="C173" t="s">
        <v>23</v>
      </c>
      <c r="D173" t="s">
        <v>10</v>
      </c>
      <c r="E173" t="s">
        <v>19</v>
      </c>
      <c r="F173">
        <v>732.87</v>
      </c>
      <c r="G173">
        <v>69.900000000000006</v>
      </c>
      <c r="H173">
        <v>3</v>
      </c>
      <c r="I173" t="str">
        <f t="shared" si="6"/>
        <v>September-2025</v>
      </c>
      <c r="J173" t="str">
        <f t="shared" si="7"/>
        <v>Regular</v>
      </c>
      <c r="K173" t="str">
        <f t="shared" si="8"/>
        <v>Profit</v>
      </c>
    </row>
    <row r="174" spans="1:11" x14ac:dyDescent="0.35">
      <c r="A174" s="1">
        <v>46138</v>
      </c>
      <c r="B174" t="s">
        <v>12</v>
      </c>
      <c r="C174" t="s">
        <v>9</v>
      </c>
      <c r="D174" t="s">
        <v>14</v>
      </c>
      <c r="E174" t="s">
        <v>25</v>
      </c>
      <c r="F174">
        <v>157.47999999999999</v>
      </c>
      <c r="G174">
        <v>33.81</v>
      </c>
      <c r="H174">
        <v>10</v>
      </c>
      <c r="I174" t="str">
        <f t="shared" si="6"/>
        <v>April-2026</v>
      </c>
      <c r="J174" t="str">
        <f t="shared" si="7"/>
        <v>Regular</v>
      </c>
      <c r="K174" t="str">
        <f t="shared" si="8"/>
        <v>Profit</v>
      </c>
    </row>
    <row r="175" spans="1:11" x14ac:dyDescent="0.35">
      <c r="A175" s="1">
        <v>46126</v>
      </c>
      <c r="B175" t="s">
        <v>33</v>
      </c>
      <c r="C175" t="s">
        <v>13</v>
      </c>
      <c r="D175" t="s">
        <v>10</v>
      </c>
      <c r="E175" t="s">
        <v>11</v>
      </c>
      <c r="F175">
        <v>4444.1400000000003</v>
      </c>
      <c r="G175">
        <v>115.08</v>
      </c>
      <c r="H175">
        <v>10</v>
      </c>
      <c r="I175" t="str">
        <f t="shared" si="6"/>
        <v>April-2026</v>
      </c>
      <c r="J175" t="str">
        <f t="shared" si="7"/>
        <v>Premium</v>
      </c>
      <c r="K175" t="str">
        <f t="shared" si="8"/>
        <v>Profit</v>
      </c>
    </row>
    <row r="176" spans="1:11" x14ac:dyDescent="0.35">
      <c r="A176" s="1">
        <v>45671</v>
      </c>
      <c r="B176" t="s">
        <v>20</v>
      </c>
      <c r="C176" t="s">
        <v>9</v>
      </c>
      <c r="D176" t="s">
        <v>21</v>
      </c>
      <c r="E176" t="s">
        <v>24</v>
      </c>
      <c r="F176">
        <v>575.84</v>
      </c>
      <c r="G176">
        <v>145.35</v>
      </c>
      <c r="H176">
        <v>4</v>
      </c>
      <c r="I176" t="str">
        <f t="shared" si="6"/>
        <v>January-2025</v>
      </c>
      <c r="J176" t="str">
        <f t="shared" si="7"/>
        <v>Regular</v>
      </c>
      <c r="K176" t="str">
        <f t="shared" si="8"/>
        <v>Profit</v>
      </c>
    </row>
    <row r="177" spans="1:11" x14ac:dyDescent="0.35">
      <c r="A177" s="1">
        <v>46099</v>
      </c>
      <c r="B177" t="s">
        <v>8</v>
      </c>
      <c r="C177" t="s">
        <v>9</v>
      </c>
      <c r="D177" t="s">
        <v>10</v>
      </c>
      <c r="E177" t="s">
        <v>11</v>
      </c>
      <c r="F177">
        <v>3283.16</v>
      </c>
      <c r="G177">
        <v>416.84</v>
      </c>
      <c r="H177">
        <v>2</v>
      </c>
      <c r="I177" t="str">
        <f t="shared" si="6"/>
        <v>March-2026</v>
      </c>
      <c r="J177" t="str">
        <f t="shared" si="7"/>
        <v>Premium</v>
      </c>
      <c r="K177" t="str">
        <f t="shared" si="8"/>
        <v>Profit</v>
      </c>
    </row>
    <row r="178" spans="1:11" x14ac:dyDescent="0.35">
      <c r="A178" s="1">
        <v>46127</v>
      </c>
      <c r="B178" t="s">
        <v>12</v>
      </c>
      <c r="C178" t="s">
        <v>13</v>
      </c>
      <c r="D178" t="s">
        <v>21</v>
      </c>
      <c r="E178" t="s">
        <v>27</v>
      </c>
      <c r="F178">
        <v>806.06</v>
      </c>
      <c r="G178">
        <v>-25.81</v>
      </c>
      <c r="H178">
        <v>7</v>
      </c>
      <c r="I178" t="str">
        <f t="shared" si="6"/>
        <v>April-2026</v>
      </c>
      <c r="J178" t="str">
        <f t="shared" si="7"/>
        <v>Regular</v>
      </c>
      <c r="K178" t="str">
        <f t="shared" si="8"/>
        <v>Loss</v>
      </c>
    </row>
    <row r="179" spans="1:11" x14ac:dyDescent="0.35">
      <c r="A179" s="1">
        <v>45753</v>
      </c>
      <c r="B179" t="s">
        <v>30</v>
      </c>
      <c r="C179" t="s">
        <v>9</v>
      </c>
      <c r="D179" t="s">
        <v>21</v>
      </c>
      <c r="E179" t="s">
        <v>22</v>
      </c>
      <c r="F179">
        <v>1922.06</v>
      </c>
      <c r="G179">
        <v>434.12</v>
      </c>
      <c r="H179">
        <v>8</v>
      </c>
      <c r="I179" t="str">
        <f t="shared" si="6"/>
        <v>April-2025</v>
      </c>
      <c r="J179" t="str">
        <f t="shared" si="7"/>
        <v>Premium</v>
      </c>
      <c r="K179" t="str">
        <f t="shared" si="8"/>
        <v>Profit</v>
      </c>
    </row>
    <row r="180" spans="1:11" x14ac:dyDescent="0.35">
      <c r="A180" s="1">
        <v>45687</v>
      </c>
      <c r="B180" t="s">
        <v>26</v>
      </c>
      <c r="C180" t="s">
        <v>23</v>
      </c>
      <c r="D180" t="s">
        <v>14</v>
      </c>
      <c r="E180" t="s">
        <v>29</v>
      </c>
      <c r="F180">
        <v>541.45000000000005</v>
      </c>
      <c r="G180">
        <v>-53.12</v>
      </c>
      <c r="H180">
        <v>2</v>
      </c>
      <c r="I180" t="str">
        <f t="shared" si="6"/>
        <v>January-2025</v>
      </c>
      <c r="J180" t="str">
        <f t="shared" si="7"/>
        <v>Regular</v>
      </c>
      <c r="K180" t="str">
        <f t="shared" si="8"/>
        <v>Loss</v>
      </c>
    </row>
    <row r="181" spans="1:11" x14ac:dyDescent="0.35">
      <c r="A181" s="1">
        <v>46105</v>
      </c>
      <c r="B181" t="s">
        <v>12</v>
      </c>
      <c r="C181" t="s">
        <v>13</v>
      </c>
      <c r="D181" t="s">
        <v>10</v>
      </c>
      <c r="E181" t="s">
        <v>11</v>
      </c>
      <c r="F181">
        <v>3813.14</v>
      </c>
      <c r="G181">
        <v>55.76</v>
      </c>
      <c r="H181">
        <v>5</v>
      </c>
      <c r="I181" t="str">
        <f t="shared" si="6"/>
        <v>March-2026</v>
      </c>
      <c r="J181" t="str">
        <f t="shared" si="7"/>
        <v>Premium</v>
      </c>
      <c r="K181" t="str">
        <f t="shared" si="8"/>
        <v>Profit</v>
      </c>
    </row>
    <row r="182" spans="1:11" x14ac:dyDescent="0.35">
      <c r="A182" s="1">
        <v>45768</v>
      </c>
      <c r="B182" t="s">
        <v>30</v>
      </c>
      <c r="C182" t="s">
        <v>13</v>
      </c>
      <c r="D182" t="s">
        <v>10</v>
      </c>
      <c r="E182" t="s">
        <v>32</v>
      </c>
      <c r="F182">
        <v>2055.63</v>
      </c>
      <c r="G182">
        <v>8.1199999999999992</v>
      </c>
      <c r="H182">
        <v>7</v>
      </c>
      <c r="I182" t="str">
        <f t="shared" si="6"/>
        <v>April-2025</v>
      </c>
      <c r="J182" t="str">
        <f t="shared" si="7"/>
        <v>Premium</v>
      </c>
      <c r="K182" t="str">
        <f t="shared" si="8"/>
        <v>Profit</v>
      </c>
    </row>
    <row r="183" spans="1:11" x14ac:dyDescent="0.35">
      <c r="A183" s="1">
        <v>45811</v>
      </c>
      <c r="B183" t="s">
        <v>18</v>
      </c>
      <c r="C183" t="s">
        <v>9</v>
      </c>
      <c r="D183" t="s">
        <v>14</v>
      </c>
      <c r="E183" t="s">
        <v>29</v>
      </c>
      <c r="F183">
        <v>678.33</v>
      </c>
      <c r="G183">
        <v>14.16</v>
      </c>
      <c r="H183">
        <v>10</v>
      </c>
      <c r="I183" t="str">
        <f t="shared" si="6"/>
        <v>June-2025</v>
      </c>
      <c r="J183" t="str">
        <f t="shared" si="7"/>
        <v>Regular</v>
      </c>
      <c r="K183" t="str">
        <f t="shared" si="8"/>
        <v>Profit</v>
      </c>
    </row>
    <row r="184" spans="1:11" x14ac:dyDescent="0.35">
      <c r="A184" s="1">
        <v>45671</v>
      </c>
      <c r="B184" t="s">
        <v>8</v>
      </c>
      <c r="C184" t="s">
        <v>9</v>
      </c>
      <c r="D184" t="s">
        <v>10</v>
      </c>
      <c r="E184" t="s">
        <v>32</v>
      </c>
      <c r="F184">
        <v>1005.72</v>
      </c>
      <c r="G184">
        <v>-70.97</v>
      </c>
      <c r="H184">
        <v>4</v>
      </c>
      <c r="I184" t="str">
        <f t="shared" si="6"/>
        <v>January-2025</v>
      </c>
      <c r="J184" t="str">
        <f t="shared" si="7"/>
        <v>Premium</v>
      </c>
      <c r="K184" t="str">
        <f t="shared" si="8"/>
        <v>Loss</v>
      </c>
    </row>
    <row r="185" spans="1:11" x14ac:dyDescent="0.35">
      <c r="A185" s="1">
        <v>45932</v>
      </c>
      <c r="B185" t="s">
        <v>33</v>
      </c>
      <c r="C185" t="s">
        <v>9</v>
      </c>
      <c r="D185" t="s">
        <v>14</v>
      </c>
      <c r="E185" t="s">
        <v>15</v>
      </c>
      <c r="F185">
        <v>3180.44</v>
      </c>
      <c r="G185">
        <v>898.33</v>
      </c>
      <c r="H185">
        <v>5</v>
      </c>
      <c r="I185" t="str">
        <f t="shared" si="6"/>
        <v>October-2025</v>
      </c>
      <c r="J185" t="str">
        <f t="shared" si="7"/>
        <v>Premium</v>
      </c>
      <c r="K185" t="str">
        <f t="shared" si="8"/>
        <v>Profit</v>
      </c>
    </row>
    <row r="186" spans="1:11" x14ac:dyDescent="0.35">
      <c r="A186" s="1">
        <v>46155</v>
      </c>
      <c r="B186" t="s">
        <v>26</v>
      </c>
      <c r="C186" t="s">
        <v>23</v>
      </c>
      <c r="D186" t="s">
        <v>10</v>
      </c>
      <c r="E186" t="s">
        <v>32</v>
      </c>
      <c r="F186">
        <v>1632.67</v>
      </c>
      <c r="G186">
        <v>123.7</v>
      </c>
      <c r="H186">
        <v>1</v>
      </c>
      <c r="I186" t="str">
        <f t="shared" si="6"/>
        <v>May-2026</v>
      </c>
      <c r="J186" t="str">
        <f t="shared" si="7"/>
        <v>Premium</v>
      </c>
      <c r="K186" t="str">
        <f t="shared" si="8"/>
        <v>Profit</v>
      </c>
    </row>
    <row r="187" spans="1:11" x14ac:dyDescent="0.35">
      <c r="A187" s="1">
        <v>46044</v>
      </c>
      <c r="B187" t="s">
        <v>33</v>
      </c>
      <c r="C187" t="s">
        <v>17</v>
      </c>
      <c r="D187" t="s">
        <v>14</v>
      </c>
      <c r="E187" t="s">
        <v>29</v>
      </c>
      <c r="F187">
        <v>929.22</v>
      </c>
      <c r="G187">
        <v>203.09</v>
      </c>
      <c r="H187">
        <v>5</v>
      </c>
      <c r="I187" t="str">
        <f t="shared" si="6"/>
        <v>January-2026</v>
      </c>
      <c r="J187" t="str">
        <f t="shared" si="7"/>
        <v>Regular</v>
      </c>
      <c r="K187" t="str">
        <f t="shared" si="8"/>
        <v>Profit</v>
      </c>
    </row>
    <row r="188" spans="1:11" x14ac:dyDescent="0.35">
      <c r="A188" s="1">
        <v>45750</v>
      </c>
      <c r="B188" t="s">
        <v>12</v>
      </c>
      <c r="C188" t="s">
        <v>17</v>
      </c>
      <c r="D188" t="s">
        <v>10</v>
      </c>
      <c r="E188" t="s">
        <v>11</v>
      </c>
      <c r="F188">
        <v>3849.99</v>
      </c>
      <c r="G188">
        <v>80.069999999999993</v>
      </c>
      <c r="H188">
        <v>3</v>
      </c>
      <c r="I188" t="str">
        <f t="shared" si="6"/>
        <v>April-2025</v>
      </c>
      <c r="J188" t="str">
        <f t="shared" si="7"/>
        <v>Premium</v>
      </c>
      <c r="K188" t="str">
        <f t="shared" si="8"/>
        <v>Profit</v>
      </c>
    </row>
    <row r="189" spans="1:11" x14ac:dyDescent="0.35">
      <c r="A189" s="1">
        <v>45774</v>
      </c>
      <c r="B189" t="s">
        <v>28</v>
      </c>
      <c r="C189" t="s">
        <v>13</v>
      </c>
      <c r="D189" t="s">
        <v>14</v>
      </c>
      <c r="E189" t="s">
        <v>25</v>
      </c>
      <c r="F189">
        <v>3881.22</v>
      </c>
      <c r="G189">
        <v>639.84</v>
      </c>
      <c r="H189">
        <v>7</v>
      </c>
      <c r="I189" t="str">
        <f t="shared" si="6"/>
        <v>April-2025</v>
      </c>
      <c r="J189" t="str">
        <f t="shared" si="7"/>
        <v>Premium</v>
      </c>
      <c r="K189" t="str">
        <f t="shared" si="8"/>
        <v>Profit</v>
      </c>
    </row>
    <row r="190" spans="1:11" x14ac:dyDescent="0.35">
      <c r="A190" s="1">
        <v>45749</v>
      </c>
      <c r="B190" t="s">
        <v>33</v>
      </c>
      <c r="C190" t="s">
        <v>13</v>
      </c>
      <c r="D190" t="s">
        <v>21</v>
      </c>
      <c r="E190" t="s">
        <v>27</v>
      </c>
      <c r="F190">
        <v>1866.6</v>
      </c>
      <c r="G190">
        <v>372.73</v>
      </c>
      <c r="H190">
        <v>7</v>
      </c>
      <c r="I190" t="str">
        <f t="shared" si="6"/>
        <v>April-2025</v>
      </c>
      <c r="J190" t="str">
        <f t="shared" si="7"/>
        <v>Premium</v>
      </c>
      <c r="K190" t="str">
        <f t="shared" si="8"/>
        <v>Profit</v>
      </c>
    </row>
    <row r="191" spans="1:11" x14ac:dyDescent="0.35">
      <c r="A191" s="1">
        <v>45967</v>
      </c>
      <c r="B191" t="s">
        <v>33</v>
      </c>
      <c r="C191" t="s">
        <v>9</v>
      </c>
      <c r="D191" t="s">
        <v>21</v>
      </c>
      <c r="E191" t="s">
        <v>24</v>
      </c>
      <c r="F191">
        <v>2150.8200000000002</v>
      </c>
      <c r="G191">
        <v>447.04</v>
      </c>
      <c r="H191">
        <v>7</v>
      </c>
      <c r="I191" t="str">
        <f t="shared" si="6"/>
        <v>November-2025</v>
      </c>
      <c r="J191" t="str">
        <f t="shared" si="7"/>
        <v>Premium</v>
      </c>
      <c r="K191" t="str">
        <f t="shared" si="8"/>
        <v>Profit</v>
      </c>
    </row>
    <row r="192" spans="1:11" x14ac:dyDescent="0.35">
      <c r="A192" s="1">
        <v>45988</v>
      </c>
      <c r="B192" t="s">
        <v>18</v>
      </c>
      <c r="C192" t="s">
        <v>23</v>
      </c>
      <c r="D192" t="s">
        <v>21</v>
      </c>
      <c r="E192" t="s">
        <v>27</v>
      </c>
      <c r="F192">
        <v>2312.71</v>
      </c>
      <c r="G192">
        <v>341.62</v>
      </c>
      <c r="H192">
        <v>9</v>
      </c>
      <c r="I192" t="str">
        <f t="shared" si="6"/>
        <v>November-2025</v>
      </c>
      <c r="J192" t="str">
        <f t="shared" si="7"/>
        <v>Premium</v>
      </c>
      <c r="K192" t="str">
        <f t="shared" si="8"/>
        <v>Profit</v>
      </c>
    </row>
    <row r="193" spans="1:11" x14ac:dyDescent="0.35">
      <c r="A193" s="1">
        <v>45688</v>
      </c>
      <c r="B193" t="s">
        <v>26</v>
      </c>
      <c r="C193" t="s">
        <v>23</v>
      </c>
      <c r="D193" t="s">
        <v>21</v>
      </c>
      <c r="E193" t="s">
        <v>22</v>
      </c>
      <c r="F193">
        <v>4385.1499999999996</v>
      </c>
      <c r="G193">
        <v>448.98</v>
      </c>
      <c r="H193">
        <v>9</v>
      </c>
      <c r="I193" t="str">
        <f t="shared" si="6"/>
        <v>January-2025</v>
      </c>
      <c r="J193" t="str">
        <f t="shared" si="7"/>
        <v>Premium</v>
      </c>
      <c r="K193" t="str">
        <f t="shared" si="8"/>
        <v>Profit</v>
      </c>
    </row>
    <row r="194" spans="1:11" x14ac:dyDescent="0.35">
      <c r="A194" s="1">
        <v>45964</v>
      </c>
      <c r="B194" t="s">
        <v>18</v>
      </c>
      <c r="C194" t="s">
        <v>23</v>
      </c>
      <c r="D194" t="s">
        <v>10</v>
      </c>
      <c r="E194" t="s">
        <v>19</v>
      </c>
      <c r="F194">
        <v>1604.62</v>
      </c>
      <c r="G194">
        <v>405.26</v>
      </c>
      <c r="H194">
        <v>7</v>
      </c>
      <c r="I194" t="str">
        <f t="shared" si="6"/>
        <v>November-2025</v>
      </c>
      <c r="J194" t="str">
        <f t="shared" si="7"/>
        <v>Premium</v>
      </c>
      <c r="K194" t="str">
        <f t="shared" si="8"/>
        <v>Profit</v>
      </c>
    </row>
    <row r="195" spans="1:11" x14ac:dyDescent="0.35">
      <c r="A195" s="1">
        <v>45769</v>
      </c>
      <c r="B195" t="s">
        <v>20</v>
      </c>
      <c r="C195" t="s">
        <v>17</v>
      </c>
      <c r="D195" t="s">
        <v>10</v>
      </c>
      <c r="E195" t="s">
        <v>19</v>
      </c>
      <c r="F195">
        <v>2781.43</v>
      </c>
      <c r="G195">
        <v>-77.86</v>
      </c>
      <c r="H195">
        <v>6</v>
      </c>
      <c r="I195" t="str">
        <f t="shared" ref="I195:I201" si="9">TEXT(A195,"mmmm-yyyy")</f>
        <v>April-2025</v>
      </c>
      <c r="J195" t="str">
        <f t="shared" ref="J195:J201" si="10">IF(F195&gt;1000,"Premium","Regular")</f>
        <v>Premium</v>
      </c>
      <c r="K195" t="str">
        <f t="shared" ref="K195:K201" si="11">IF(G195&gt;0,"Profit","Loss")</f>
        <v>Loss</v>
      </c>
    </row>
    <row r="196" spans="1:11" x14ac:dyDescent="0.35">
      <c r="A196" s="1">
        <v>45681</v>
      </c>
      <c r="B196" t="s">
        <v>31</v>
      </c>
      <c r="C196" t="s">
        <v>13</v>
      </c>
      <c r="D196" t="s">
        <v>10</v>
      </c>
      <c r="E196" t="s">
        <v>19</v>
      </c>
      <c r="F196">
        <v>1715.4</v>
      </c>
      <c r="G196">
        <v>403.2</v>
      </c>
      <c r="H196">
        <v>10</v>
      </c>
      <c r="I196" t="str">
        <f t="shared" si="9"/>
        <v>January-2025</v>
      </c>
      <c r="J196" t="str">
        <f t="shared" si="10"/>
        <v>Premium</v>
      </c>
      <c r="K196" t="str">
        <f t="shared" si="11"/>
        <v>Profit</v>
      </c>
    </row>
    <row r="197" spans="1:11" x14ac:dyDescent="0.35">
      <c r="A197" s="1">
        <v>45939</v>
      </c>
      <c r="B197" t="s">
        <v>20</v>
      </c>
      <c r="C197" t="s">
        <v>9</v>
      </c>
      <c r="D197" t="s">
        <v>10</v>
      </c>
      <c r="E197" t="s">
        <v>11</v>
      </c>
      <c r="F197">
        <v>2314.02</v>
      </c>
      <c r="G197">
        <v>262.83999999999997</v>
      </c>
      <c r="H197">
        <v>5</v>
      </c>
      <c r="I197" t="str">
        <f t="shared" si="9"/>
        <v>October-2025</v>
      </c>
      <c r="J197" t="str">
        <f t="shared" si="10"/>
        <v>Premium</v>
      </c>
      <c r="K197" t="str">
        <f t="shared" si="11"/>
        <v>Profit</v>
      </c>
    </row>
    <row r="198" spans="1:11" x14ac:dyDescent="0.35">
      <c r="A198" s="1">
        <v>45915</v>
      </c>
      <c r="B198" t="s">
        <v>16</v>
      </c>
      <c r="C198" t="s">
        <v>23</v>
      </c>
      <c r="D198" t="s">
        <v>21</v>
      </c>
      <c r="E198" t="s">
        <v>24</v>
      </c>
      <c r="F198">
        <v>2895.16</v>
      </c>
      <c r="G198">
        <v>808.02</v>
      </c>
      <c r="H198">
        <v>9</v>
      </c>
      <c r="I198" t="str">
        <f t="shared" si="9"/>
        <v>September-2025</v>
      </c>
      <c r="J198" t="str">
        <f t="shared" si="10"/>
        <v>Premium</v>
      </c>
      <c r="K198" t="str">
        <f t="shared" si="11"/>
        <v>Profit</v>
      </c>
    </row>
    <row r="199" spans="1:11" x14ac:dyDescent="0.35">
      <c r="A199" s="1">
        <v>45876</v>
      </c>
      <c r="B199" t="s">
        <v>12</v>
      </c>
      <c r="C199" t="s">
        <v>9</v>
      </c>
      <c r="D199" t="s">
        <v>10</v>
      </c>
      <c r="E199" t="s">
        <v>32</v>
      </c>
      <c r="F199">
        <v>1389.38</v>
      </c>
      <c r="G199">
        <v>371.34</v>
      </c>
      <c r="H199">
        <v>9</v>
      </c>
      <c r="I199" t="str">
        <f t="shared" si="9"/>
        <v>August-2025</v>
      </c>
      <c r="J199" t="str">
        <f t="shared" si="10"/>
        <v>Premium</v>
      </c>
      <c r="K199" t="str">
        <f t="shared" si="11"/>
        <v>Profit</v>
      </c>
    </row>
    <row r="200" spans="1:11" x14ac:dyDescent="0.35">
      <c r="A200" s="1">
        <v>45986</v>
      </c>
      <c r="B200" t="s">
        <v>28</v>
      </c>
      <c r="C200" t="s">
        <v>9</v>
      </c>
      <c r="D200" t="s">
        <v>21</v>
      </c>
      <c r="E200" t="s">
        <v>24</v>
      </c>
      <c r="F200">
        <v>156.29</v>
      </c>
      <c r="G200">
        <v>24.67</v>
      </c>
      <c r="H200">
        <v>1</v>
      </c>
      <c r="I200" t="str">
        <f t="shared" si="9"/>
        <v>November-2025</v>
      </c>
      <c r="J200" t="str">
        <f t="shared" si="10"/>
        <v>Regular</v>
      </c>
      <c r="K200" t="str">
        <f t="shared" si="11"/>
        <v>Profit</v>
      </c>
    </row>
    <row r="201" spans="1:11" x14ac:dyDescent="0.35">
      <c r="A201" s="1">
        <v>45972</v>
      </c>
      <c r="B201" t="s">
        <v>28</v>
      </c>
      <c r="C201" t="s">
        <v>17</v>
      </c>
      <c r="D201" t="s">
        <v>14</v>
      </c>
      <c r="E201" t="s">
        <v>29</v>
      </c>
      <c r="F201">
        <v>4579</v>
      </c>
      <c r="G201">
        <v>635.66999999999996</v>
      </c>
      <c r="H201">
        <v>1</v>
      </c>
      <c r="I201" t="str">
        <f t="shared" si="9"/>
        <v>November-2025</v>
      </c>
      <c r="J201" t="str">
        <f t="shared" si="10"/>
        <v>Premium</v>
      </c>
      <c r="K201" t="str">
        <f t="shared" si="11"/>
        <v>Profit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riyahoro74@outlook.com</cp:lastModifiedBy>
  <cp:lastPrinted>2026-06-10T09:33:51Z</cp:lastPrinted>
  <dcterms:created xsi:type="dcterms:W3CDTF">2026-06-10T09:31:49Z</dcterms:created>
  <dcterms:modified xsi:type="dcterms:W3CDTF">2026-06-10T13:39:35Z</dcterms:modified>
</cp:coreProperties>
</file>